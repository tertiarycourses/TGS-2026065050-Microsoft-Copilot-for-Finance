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Match Rules" sheetId="2" r:id="rId2"/>
    <sheet name="AR Ledger" sheetId="3" r:id="rId3"/>
    <sheet name="Bank Statement" sheetId="4" r:id="rId4"/>
    <sheet name="Ageing Profile" sheetId="5" r:id="rId5"/>
    <sheet name="Reconciliation" sheetId="6" r:id="rId6"/>
    <sheet name="Forecast Assumptions" sheetId="7" r:id="rId7"/>
    <sheet name="Forecast" sheetId="8" r:id="rId8"/>
  </sheets>
  <calcPr calcId="124519" fullCalcOnLoad="1"/>
</workbook>
</file>

<file path=xl/sharedStrings.xml><?xml version="1.0" encoding="utf-8"?>
<sst xmlns="http://schemas.openxmlformats.org/spreadsheetml/2006/main" count="383" uniqueCount="191">
  <si>
    <t>Lab 6: Reconcile Accounts and Forecast with Copilot</t>
  </si>
  <si>
    <t>Course</t>
  </si>
  <si>
    <t>Microsoft Copilot for Finance (TGS-2026065050)</t>
  </si>
  <si>
    <t>TSC mapping</t>
  </si>
  <si>
    <t>K1 · A2</t>
  </si>
  <si>
    <t>Objective</t>
  </si>
  <si>
    <t>Apply deterministic matching rules and build a driver-based forecast with scenarios.</t>
  </si>
  <si>
    <t>Scenario</t>
  </si>
  <si>
    <t>The controller must reconcile the bank statement to the receivables ledger and produce a defensible H2 forecast.</t>
  </si>
  <si>
    <t>Expected output</t>
  </si>
  <si>
    <t>A reconciliation report with an owned exception queue and a base, downside and upside forecast.</t>
  </si>
  <si>
    <t>Data notice</t>
  </si>
  <si>
    <t>All names, accounts, transactions and scores are synthetic. Do not replace them with live personal or customer data.</t>
  </si>
  <si>
    <t>Acceptance</t>
  </si>
  <si>
    <t>Matched plus exception values reconcile to both sources; every unresolved item has a reason, age and owner; scenarios are driven by assumption cells; escalation items above the policy threshold are flagged.</t>
  </si>
  <si>
    <t>Match rules from POL-FIN-002 Month-End Close Calendar and Controls</t>
  </si>
  <si>
    <t>Classification</t>
  </si>
  <si>
    <t>Definition</t>
  </si>
  <si>
    <t>Exact match</t>
  </si>
  <si>
    <t>The amount and the reference both agree.</t>
  </si>
  <si>
    <t>Tolerance match</t>
  </si>
  <si>
    <t>The amount differs by SGD 50 or less. Note it; a reviewer clears it.</t>
  </si>
  <si>
    <t>Reference-only match</t>
  </si>
  <si>
    <t>The amount agrees but the bank narrative lost the invoice ID. Always needs reviewer confirmation.</t>
  </si>
  <si>
    <t>Exception</t>
  </si>
  <si>
    <t>Anything else. Must be aged, owned and explained.</t>
  </si>
  <si>
    <t>Escalation</t>
  </si>
  <si>
    <t>Unreconciled items above SGD 10,000 or older than 60 days go to the Financial Controller.</t>
  </si>
  <si>
    <t>InvoiceID</t>
  </si>
  <si>
    <t>CustomerID</t>
  </si>
  <si>
    <t>CustomerName</t>
  </si>
  <si>
    <t>Department</t>
  </si>
  <si>
    <t>InvoiceDate</t>
  </si>
  <si>
    <t>DueDate</t>
  </si>
  <si>
    <t>InvoiceAmountSGD</t>
  </si>
  <si>
    <t>OutstandingSGD</t>
  </si>
  <si>
    <t>DaysOverdue</t>
  </si>
  <si>
    <t>AgeingBucket</t>
  </si>
  <si>
    <t>CollectionStatus</t>
  </si>
  <si>
    <t>INV-2026-0001</t>
  </si>
  <si>
    <t>CUST-005</t>
  </si>
  <si>
    <t>Kowloon Digital Ltd</t>
  </si>
  <si>
    <t>Digital Payments</t>
  </si>
  <si>
    <t>31-60 days</t>
  </si>
  <si>
    <t>Follow-up</t>
  </si>
  <si>
    <t>INV-2026-0002</t>
  </si>
  <si>
    <t>CUST-006</t>
  </si>
  <si>
    <t>Sydney Freight Co</t>
  </si>
  <si>
    <t>Enterprise</t>
  </si>
  <si>
    <t>61-90 days</t>
  </si>
  <si>
    <t>Escalated</t>
  </si>
  <si>
    <t>INV-2026-0003</t>
  </si>
  <si>
    <t>INV-2026-0004</t>
  </si>
  <si>
    <t>Current</t>
  </si>
  <si>
    <t>Paid</t>
  </si>
  <si>
    <t>INV-2026-0005</t>
  </si>
  <si>
    <t>CUST-008</t>
  </si>
  <si>
    <t>Johor Agri Holdings</t>
  </si>
  <si>
    <t>SME Lending</t>
  </si>
  <si>
    <t>INV-2026-0006</t>
  </si>
  <si>
    <t>CUST-011</t>
  </si>
  <si>
    <t>Tampines Medical Group</t>
  </si>
  <si>
    <t>1-30 days</t>
  </si>
  <si>
    <t>INV-2026-0007</t>
  </si>
  <si>
    <t>CUST-010</t>
  </si>
  <si>
    <t>Victoria Payments Pty</t>
  </si>
  <si>
    <t>INV-2026-0008</t>
  </si>
  <si>
    <t>INV-2026-0009</t>
  </si>
  <si>
    <t>CUST-004</t>
  </si>
  <si>
    <t>Harbourfront Retail Group</t>
  </si>
  <si>
    <t>Retail Banking</t>
  </si>
  <si>
    <t>INV-2026-0010</t>
  </si>
  <si>
    <t>CUST-001</t>
  </si>
  <si>
    <t>Marina Bay Logistics</t>
  </si>
  <si>
    <t>INV-2026-0011</t>
  </si>
  <si>
    <t>INV-2026-0012</t>
  </si>
  <si>
    <t>Not due</t>
  </si>
  <si>
    <t>INV-2026-0013</t>
  </si>
  <si>
    <t>INV-2026-0014</t>
  </si>
  <si>
    <t>INV-2026-0015</t>
  </si>
  <si>
    <t>CUST-003</t>
  </si>
  <si>
    <t>Penang Textiles Sdn Bhd</t>
  </si>
  <si>
    <t>INV-2026-0016</t>
  </si>
  <si>
    <t>CUST-009</t>
  </si>
  <si>
    <t>Orchard Lifestyle Retail</t>
  </si>
  <si>
    <t>INV-2026-0017</t>
  </si>
  <si>
    <t>CUST-012</t>
  </si>
  <si>
    <t>Melaka Shipping</t>
  </si>
  <si>
    <t>INV-2026-0018</t>
  </si>
  <si>
    <t>INV-2026-0019</t>
  </si>
  <si>
    <t>INV-2026-0020</t>
  </si>
  <si>
    <t>INV-2026-0021</t>
  </si>
  <si>
    <t>CUST-002</t>
  </si>
  <si>
    <t>Kallang Foods Pte Ltd</t>
  </si>
  <si>
    <t>INV-2026-0022</t>
  </si>
  <si>
    <t>INV-2026-0023</t>
  </si>
  <si>
    <t>INV-2026-0024</t>
  </si>
  <si>
    <t>INV-2026-0025</t>
  </si>
  <si>
    <t>INV-2026-0026</t>
  </si>
  <si>
    <t>INV-2026-0027</t>
  </si>
  <si>
    <t>INV-2026-0028</t>
  </si>
  <si>
    <t>INV-2026-0029</t>
  </si>
  <si>
    <t>INV-2026-0030</t>
  </si>
  <si>
    <t>INV-2026-0031</t>
  </si>
  <si>
    <t>INV-2026-0032</t>
  </si>
  <si>
    <t>INV-2026-0033</t>
  </si>
  <si>
    <t>BankTxnID</t>
  </si>
  <si>
    <t>ValueDate</t>
  </si>
  <si>
    <t>Description</t>
  </si>
  <si>
    <t>CreditSGD</t>
  </si>
  <si>
    <t>DebitSGD</t>
  </si>
  <si>
    <t>Reference</t>
  </si>
  <si>
    <t>Reason / owner</t>
  </si>
  <si>
    <t>BNK-2026-00001</t>
  </si>
  <si>
    <t>RCPT Sydney Freight Co</t>
  </si>
  <si>
    <t>Amount and reference agree</t>
  </si>
  <si>
    <t>BNK-2026-00002</t>
  </si>
  <si>
    <t>RCPT Tampines Medical G</t>
  </si>
  <si>
    <t>BNK-2026-00003</t>
  </si>
  <si>
    <t xml:space="preserve">RCPT Victoria Payments </t>
  </si>
  <si>
    <t>BNK-2026-00004</t>
  </si>
  <si>
    <t>RCPT Marina Bay Logisti</t>
  </si>
  <si>
    <t>Amount agrees but the narrative lost the invoice ID; reviewer confirms</t>
  </si>
  <si>
    <t>BNK-2026-00005</t>
  </si>
  <si>
    <t>BNK-2026-00006</t>
  </si>
  <si>
    <t>Short paid by SGD 26.77; within tolerance, reviewer clears</t>
  </si>
  <si>
    <t>BNK-2026-00007</t>
  </si>
  <si>
    <t xml:space="preserve">RCPT Orchard Lifestyle </t>
  </si>
  <si>
    <t>BNK-2026-00008</t>
  </si>
  <si>
    <t>BNK-2026-00009</t>
  </si>
  <si>
    <t>RCPT Melaka Shipping</t>
  </si>
  <si>
    <t>BNK-2026-00010</t>
  </si>
  <si>
    <t>RCPT Harbourfront Retai</t>
  </si>
  <si>
    <t>BNK-2026-00011</t>
  </si>
  <si>
    <t>BNK-2026-00012</t>
  </si>
  <si>
    <t>BANK CHARGES</t>
  </si>
  <si>
    <t>Bank-only item; investigate and explain</t>
  </si>
  <si>
    <t>BNK-2026-00013</t>
  </si>
  <si>
    <t>FX ADJUSTMENT</t>
  </si>
  <si>
    <t>BNK-2026-00014</t>
  </si>
  <si>
    <t>RETURNED PAYMENT</t>
  </si>
  <si>
    <t>BNK-2026-00015</t>
  </si>
  <si>
    <t>INTEREST CREDIT</t>
  </si>
  <si>
    <t>BNK-2026-00016</t>
  </si>
  <si>
    <t>UNIDENTIFIED RECEIPT</t>
  </si>
  <si>
    <t>BNK-2026-00017</t>
  </si>
  <si>
    <t>MERCHANT SETTLEMENT</t>
  </si>
  <si>
    <t>Ageing bucket</t>
  </si>
  <si>
    <t>Invoices</t>
  </si>
  <si>
    <t>Outstanding SGD</t>
  </si>
  <si>
    <t>Reconciliation summary</t>
  </si>
  <si>
    <t>Measure</t>
  </si>
  <si>
    <t>Value</t>
  </si>
  <si>
    <t>Check</t>
  </si>
  <si>
    <t>Note</t>
  </si>
  <si>
    <t>Bank lines</t>
  </si>
  <si>
    <t>Every line must be classified</t>
  </si>
  <si>
    <t>Total credits</t>
  </si>
  <si>
    <t>Money in</t>
  </si>
  <si>
    <t>Total debits</t>
  </si>
  <si>
    <t>Money out</t>
  </si>
  <si>
    <t>Lines classified</t>
  </si>
  <si>
    <t>Must equal bank lines</t>
  </si>
  <si>
    <t>Exceptions</t>
  </si>
  <si>
    <t>Each needs an age and an owner</t>
  </si>
  <si>
    <t>Drive the forecast from these cells — never hard-code an output</t>
  </si>
  <si>
    <t>Assumption</t>
  </si>
  <si>
    <t>Base</t>
  </si>
  <si>
    <t>Unit</t>
  </si>
  <si>
    <t>Owner</t>
  </si>
  <si>
    <t>Monthly revenue growth</t>
  </si>
  <si>
    <t>%</t>
  </si>
  <si>
    <t>FP&amp;A Manager</t>
  </si>
  <si>
    <t>Cost inflation per month</t>
  </si>
  <si>
    <t>Downside revenue factor</t>
  </si>
  <si>
    <t>x</t>
  </si>
  <si>
    <t>CFO</t>
  </si>
  <si>
    <t>Upside revenue factor</t>
  </si>
  <si>
    <t>Collection days</t>
  </si>
  <si>
    <t>days</t>
  </si>
  <si>
    <t>AR Manager</t>
  </si>
  <si>
    <t>H2 FY2026 forecast — three coherent scenarios</t>
  </si>
  <si>
    <t>Month</t>
  </si>
  <si>
    <t>Downside</t>
  </si>
  <si>
    <t>Upside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</si>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</sst>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3">
    <numFmt numFmtId="164" formatCode="dd-mmm-yyyy"/>
    <numFmt numFmtId="165" formatCode="$#,##0;[Red]-$#,##0"/>
    <numFmt numFmtId="166" formatCode="0.0%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FFF7E6"/>
        <bgColor indexed="64"/>
      </patternFill>
    </fill>
  </fills>
  <borders count="4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Border="1" applyAlignment="1">
      <alignment vertical="top"/>
    </xf>
    <xf numFmtId="166" fontId="0" fillId="4" borderId="3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Receivables by ageing bucket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Outstanding</c:v>
          </c:tx>
          <c:spPr>
            <a:solidFill>
              <a:srgbClr val="F59E0B"/>
            </a:solidFill>
          </c:spPr>
          <c:cat>
            <c:strRef>
              <c:f>'Ageing Profile'!$A$2:$A$5</c:f>
              <c:strCache>
                <c:ptCount val="4"/>
                <c:pt idx="0">
                  <c:v>Current</c:v>
                </c:pt>
                <c:pt idx="1">
                  <c:v>1-30 days</c:v>
                </c:pt>
                <c:pt idx="2">
                  <c:v>31-60 days</c:v>
                </c:pt>
                <c:pt idx="3">
                  <c:v>61-90 days</c:v>
                </c:pt>
              </c:strCache>
            </c:strRef>
          </c:cat>
          <c:val>
            <c:numRef>
              <c:f>'Ageing Profile'!$C$2:$C$5</c:f>
              <c:numCache>
                <c:formatCode>General</c:formatCode>
                <c:ptCount val="4"/>
                <c:pt idx="0">
                  <c:v>1542432.65</c:v>
                </c:pt>
                <c:pt idx="1">
                  <c:v>2798224.86</c:v>
                </c:pt>
                <c:pt idx="2">
                  <c:v>2855308.04</c:v>
                </c:pt>
                <c:pt idx="3">
                  <c:v>1768725.56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H2 FY2026 scenarios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Downside</c:v>
          </c:tx>
          <c:spPr>
            <a:ln w="31750">
              <a:solidFill>
                <a:srgbClr val="DC2626"/>
              </a:solidFill>
            </a:ln>
          </c:spPr>
          <c:marker>
            <c:symbol val="none"/>
          </c:marker>
          <c:cat>
            <c:strRef>
              <c:f>Forecast!$A$4:$A$9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Forecast!$B$4:$B$9</c:f>
              <c:numCache>
                <c:formatCode>General</c:formatCode>
                <c:ptCount val="6"/>
                <c:pt idx="0">
                  <c:v>757392.0</c:v>
                </c:pt>
                <c:pt idx="1">
                  <c:v>771025.0560000001</c:v>
                </c:pt>
                <c:pt idx="2">
                  <c:v>784903.507008</c:v>
                </c:pt>
                <c:pt idx="3">
                  <c:v>799031.7701341441</c:v>
                </c:pt>
                <c:pt idx="4">
                  <c:v>813414.3419965588</c:v>
                </c:pt>
                <c:pt idx="5">
                  <c:v>828055.8001524968</c:v>
                </c:pt>
              </c:numCache>
            </c:numRef>
          </c:val>
        </c:ser>
        <c:ser>
          <c:idx val="1"/>
          <c:order val="1"/>
          <c:tx>
            <c:v>Base</c:v>
          </c:tx>
          <c:spPr>
            <a:ln w="31750">
              <a:solidFill>
                <a:srgbClr val="1F6FEB"/>
              </a:solidFill>
            </a:ln>
          </c:spPr>
          <c:marker>
            <c:symbol val="none"/>
          </c:marker>
          <c:cat>
            <c:strRef>
              <c:f>Forecast!$A$4:$A$9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Forecast!$C$4:$C$9</c:f>
              <c:numCache>
                <c:formatCode>General</c:formatCode>
                <c:ptCount val="6"/>
                <c:pt idx="0">
                  <c:v>814400.0</c:v>
                </c:pt>
                <c:pt idx="1">
                  <c:v>829059.2000000001</c:v>
                </c:pt>
                <c:pt idx="2">
                  <c:v>843982.2656</c:v>
                </c:pt>
                <c:pt idx="3">
                  <c:v>859173.9463808001</c:v>
                </c:pt>
                <c:pt idx="4">
                  <c:v>874639.0774156546</c:v>
                </c:pt>
                <c:pt idx="5">
                  <c:v>890382.5808091363</c:v>
                </c:pt>
              </c:numCache>
            </c:numRef>
          </c:val>
        </c:ser>
        <c:ser>
          <c:idx val="2"/>
          <c:order val="2"/>
          <c:tx>
            <c:v>Upside</c:v>
          </c:tx>
          <c:spPr>
            <a:ln w="31750">
              <a:solidFill>
                <a:srgbClr val="10B981"/>
              </a:solidFill>
            </a:ln>
          </c:spPr>
          <c:marker>
            <c:symbol val="none"/>
          </c:marker>
          <c:cat>
            <c:strRef>
              <c:f>Forecast!$A$4:$A$9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Forecast!$D$4:$D$9</c:f>
              <c:numCache>
                <c:formatCode>General</c:formatCode>
                <c:ptCount val="6"/>
                <c:pt idx="0">
                  <c:v>863264.0</c:v>
                </c:pt>
                <c:pt idx="1">
                  <c:v>878802.7520000001</c:v>
                </c:pt>
                <c:pt idx="2">
                  <c:v>894621.2015360001</c:v>
                </c:pt>
                <c:pt idx="3">
                  <c:v>910724.3831636482</c:v>
                </c:pt>
                <c:pt idx="4">
                  <c:v>927117.4220605938</c:v>
                </c:pt>
                <c:pt idx="5">
                  <c:v>943805.5356576846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457200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457200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RLedger" displayName="ARLedger" ref="A1:K34" totalsRowShown="0">
  <autoFilter ref="A1:K34"/>
  <tableColumns count="11">
    <tableColumn id="1" name="InvoiceID"/>
    <tableColumn id="2" name="CustomerID"/>
    <tableColumn id="3" name="CustomerName"/>
    <tableColumn id="4" name="Department"/>
    <tableColumn id="5" name="InvoiceDate"/>
    <tableColumn id="6" name="DueDate"/>
    <tableColumn id="7" name="InvoiceAmountSGD"/>
    <tableColumn id="8" name="OutstandingSGD"/>
    <tableColumn id="9" name="DaysOverdue"/>
    <tableColumn id="10" name="AgeingBucket"/>
    <tableColumn id="11" name="Collection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nkStatement" displayName="BankStatement" ref="A1:H18" totalsRowShown="0">
  <autoFilter ref="A1:H18"/>
  <tableColumns count="8">
    <tableColumn id="1" name="BankTxnID"/>
    <tableColumn id="2" name="ValueDate"/>
    <tableColumn id="3" name="Description"/>
    <tableColumn id="4" name="CreditSGD"/>
    <tableColumn id="5" name="DebitSGD"/>
    <tableColumn id="6" name="Reference"/>
    <tableColumn id="7" name="Classification"/>
    <tableColumn id="8" name="Reason / 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64.7109375" customWidth="1"/>
  </cols>
  <sheetData>
    <row r="1" spans="1:2" ht="30" customHeight="1">
      <c r="A1" s="1" t="s">
        <v>15</v>
      </c>
    </row>
    <row r="3" spans="1:2">
      <c r="A3" s="4" t="s">
        <v>16</v>
      </c>
      <c r="B3" s="4" t="s">
        <v>17</v>
      </c>
    </row>
    <row r="4" spans="1:2" ht="26" customHeight="1">
      <c r="A4" s="2" t="s">
        <v>18</v>
      </c>
      <c r="B4" s="3" t="s">
        <v>19</v>
      </c>
    </row>
    <row r="5" spans="1:2" ht="26" customHeight="1">
      <c r="A5" s="2" t="s">
        <v>20</v>
      </c>
      <c r="B5" s="3" t="s">
        <v>21</v>
      </c>
    </row>
    <row r="6" spans="1:2" ht="26" customHeight="1">
      <c r="A6" s="2" t="s">
        <v>22</v>
      </c>
      <c r="B6" s="3" t="s">
        <v>23</v>
      </c>
    </row>
    <row r="7" spans="1:2" ht="26" customHeight="1">
      <c r="A7" s="2" t="s">
        <v>24</v>
      </c>
      <c r="B7" s="3" t="s">
        <v>25</v>
      </c>
    </row>
    <row r="8" spans="1:2" ht="26" customHeight="1">
      <c r="A8" s="2" t="s">
        <v>26</v>
      </c>
      <c r="B8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3" width="26.7109375" customWidth="1"/>
    <col min="4" max="4" width="20.7109375" customWidth="1"/>
    <col min="5" max="6" width="13.7109375" customWidth="1"/>
    <col min="7" max="8" width="16.7109375" customWidth="1"/>
    <col min="9" max="9" width="13.7109375" customWidth="1"/>
    <col min="10" max="10" width="14.7109375" customWidth="1"/>
    <col min="11" max="11" width="16.7109375" customWidth="1"/>
  </cols>
  <sheetData>
    <row r="1" spans="1:11" ht="30" customHeight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</row>
    <row r="2" spans="1:11">
      <c r="A2" t="s">
        <v>39</v>
      </c>
      <c r="B2" t="s">
        <v>40</v>
      </c>
      <c r="C2" t="s">
        <v>41</v>
      </c>
      <c r="D2" t="s">
        <v>42</v>
      </c>
      <c r="E2" s="5">
        <v>46134</v>
      </c>
      <c r="F2" s="5">
        <v>46164</v>
      </c>
      <c r="G2" s="6">
        <v>353357.82</v>
      </c>
      <c r="H2" s="6">
        <v>353357.82</v>
      </c>
      <c r="I2">
        <v>39</v>
      </c>
      <c r="J2" t="s">
        <v>43</v>
      </c>
      <c r="K2" t="s">
        <v>44</v>
      </c>
    </row>
    <row r="3" spans="1:11">
      <c r="A3" t="s">
        <v>45</v>
      </c>
      <c r="B3" t="s">
        <v>46</v>
      </c>
      <c r="C3" t="s">
        <v>47</v>
      </c>
      <c r="D3" t="s">
        <v>48</v>
      </c>
      <c r="E3" s="5">
        <v>46107</v>
      </c>
      <c r="F3" s="5">
        <v>46137</v>
      </c>
      <c r="G3" s="6">
        <v>644172.6899999999</v>
      </c>
      <c r="H3" s="6">
        <v>644172.6899999999</v>
      </c>
      <c r="I3">
        <v>66</v>
      </c>
      <c r="J3" t="s">
        <v>49</v>
      </c>
      <c r="K3" t="s">
        <v>50</v>
      </c>
    </row>
    <row r="4" spans="1:11">
      <c r="A4" t="s">
        <v>51</v>
      </c>
      <c r="B4" t="s">
        <v>40</v>
      </c>
      <c r="C4" t="s">
        <v>41</v>
      </c>
      <c r="D4" t="s">
        <v>42</v>
      </c>
      <c r="E4" s="5">
        <v>46094</v>
      </c>
      <c r="F4" s="5">
        <v>46139</v>
      </c>
      <c r="G4" s="6">
        <v>604077.9</v>
      </c>
      <c r="H4" s="6">
        <v>604077.9</v>
      </c>
      <c r="I4">
        <v>64</v>
      </c>
      <c r="J4" t="s">
        <v>49</v>
      </c>
      <c r="K4" t="s">
        <v>50</v>
      </c>
    </row>
    <row r="5" spans="1:11">
      <c r="A5" t="s">
        <v>52</v>
      </c>
      <c r="B5" t="s">
        <v>46</v>
      </c>
      <c r="C5" t="s">
        <v>47</v>
      </c>
      <c r="D5" t="s">
        <v>48</v>
      </c>
      <c r="E5" s="5">
        <v>46191</v>
      </c>
      <c r="F5" s="5">
        <v>46236</v>
      </c>
      <c r="G5" s="6">
        <v>719003.8199999999</v>
      </c>
      <c r="H5" s="6">
        <v>0</v>
      </c>
      <c r="I5">
        <v>0</v>
      </c>
      <c r="J5" t="s">
        <v>53</v>
      </c>
      <c r="K5" t="s">
        <v>54</v>
      </c>
    </row>
    <row r="6" spans="1:11">
      <c r="A6" t="s">
        <v>55</v>
      </c>
      <c r="B6" t="s">
        <v>56</v>
      </c>
      <c r="C6" t="s">
        <v>57</v>
      </c>
      <c r="D6" t="s">
        <v>58</v>
      </c>
      <c r="E6" s="5">
        <v>46118</v>
      </c>
      <c r="F6" s="5">
        <v>46148</v>
      </c>
      <c r="G6" s="6">
        <v>365123.27</v>
      </c>
      <c r="H6" s="6">
        <v>365123.27</v>
      </c>
      <c r="I6">
        <v>55</v>
      </c>
      <c r="J6" t="s">
        <v>43</v>
      </c>
      <c r="K6" t="s">
        <v>44</v>
      </c>
    </row>
    <row r="7" spans="1:11">
      <c r="A7" t="s">
        <v>59</v>
      </c>
      <c r="B7" t="s">
        <v>60</v>
      </c>
      <c r="C7" t="s">
        <v>61</v>
      </c>
      <c r="D7" t="s">
        <v>48</v>
      </c>
      <c r="E7" s="5">
        <v>46131</v>
      </c>
      <c r="F7" s="5">
        <v>46191</v>
      </c>
      <c r="G7" s="6">
        <v>155472.05</v>
      </c>
      <c r="H7" s="6">
        <v>155472.05</v>
      </c>
      <c r="I7">
        <v>12</v>
      </c>
      <c r="J7" t="s">
        <v>62</v>
      </c>
      <c r="K7" t="s">
        <v>44</v>
      </c>
    </row>
    <row r="8" spans="1:11">
      <c r="A8" t="s">
        <v>63</v>
      </c>
      <c r="B8" t="s">
        <v>64</v>
      </c>
      <c r="C8" t="s">
        <v>65</v>
      </c>
      <c r="D8" t="s">
        <v>42</v>
      </c>
      <c r="E8" s="5">
        <v>46088</v>
      </c>
      <c r="F8" s="5">
        <v>46148</v>
      </c>
      <c r="G8" s="6">
        <v>278459.79</v>
      </c>
      <c r="H8" s="6">
        <v>278459.79</v>
      </c>
      <c r="I8">
        <v>55</v>
      </c>
      <c r="J8" t="s">
        <v>43</v>
      </c>
      <c r="K8" t="s">
        <v>44</v>
      </c>
    </row>
    <row r="9" spans="1:11">
      <c r="A9" t="s">
        <v>66</v>
      </c>
      <c r="B9" t="s">
        <v>56</v>
      </c>
      <c r="C9" t="s">
        <v>57</v>
      </c>
      <c r="D9" t="s">
        <v>58</v>
      </c>
      <c r="E9" s="5">
        <v>46150</v>
      </c>
      <c r="F9" s="5">
        <v>46195</v>
      </c>
      <c r="G9" s="6">
        <v>596992.6</v>
      </c>
      <c r="H9" s="6">
        <v>596992.6</v>
      </c>
      <c r="I9">
        <v>8</v>
      </c>
      <c r="J9" t="s">
        <v>62</v>
      </c>
      <c r="K9" t="s">
        <v>44</v>
      </c>
    </row>
    <row r="10" spans="1:11">
      <c r="A10" t="s">
        <v>67</v>
      </c>
      <c r="B10" t="s">
        <v>68</v>
      </c>
      <c r="C10" t="s">
        <v>69</v>
      </c>
      <c r="D10" t="s">
        <v>70</v>
      </c>
      <c r="E10" s="5">
        <v>46154</v>
      </c>
      <c r="F10" s="5">
        <v>46184</v>
      </c>
      <c r="G10" s="6">
        <v>387523.41</v>
      </c>
      <c r="H10" s="6">
        <v>387523.41</v>
      </c>
      <c r="I10">
        <v>19</v>
      </c>
      <c r="J10" t="s">
        <v>62</v>
      </c>
      <c r="K10" t="s">
        <v>44</v>
      </c>
    </row>
    <row r="11" spans="1:11">
      <c r="A11" t="s">
        <v>71</v>
      </c>
      <c r="B11" t="s">
        <v>72</v>
      </c>
      <c r="C11" t="s">
        <v>73</v>
      </c>
      <c r="D11" t="s">
        <v>48</v>
      </c>
      <c r="E11" s="5">
        <v>46151</v>
      </c>
      <c r="F11" s="5">
        <v>46196</v>
      </c>
      <c r="G11" s="6">
        <v>409661.5</v>
      </c>
      <c r="H11" s="6">
        <v>409661.5</v>
      </c>
      <c r="I11">
        <v>7</v>
      </c>
      <c r="J11" t="s">
        <v>62</v>
      </c>
      <c r="K11" t="s">
        <v>44</v>
      </c>
    </row>
    <row r="12" spans="1:11">
      <c r="A12" t="s">
        <v>74</v>
      </c>
      <c r="B12" t="s">
        <v>72</v>
      </c>
      <c r="C12" t="s">
        <v>73</v>
      </c>
      <c r="D12" t="s">
        <v>48</v>
      </c>
      <c r="E12" s="5">
        <v>46164</v>
      </c>
      <c r="F12" s="5">
        <v>46194</v>
      </c>
      <c r="G12" s="6">
        <v>137396.82</v>
      </c>
      <c r="H12" s="6">
        <v>137396.82</v>
      </c>
      <c r="I12">
        <v>9</v>
      </c>
      <c r="J12" t="s">
        <v>62</v>
      </c>
      <c r="K12" t="s">
        <v>44</v>
      </c>
    </row>
    <row r="13" spans="1:11">
      <c r="A13" t="s">
        <v>75</v>
      </c>
      <c r="B13" t="s">
        <v>46</v>
      </c>
      <c r="C13" t="s">
        <v>47</v>
      </c>
      <c r="D13" t="s">
        <v>48</v>
      </c>
      <c r="E13" s="5">
        <v>46197</v>
      </c>
      <c r="F13" s="5">
        <v>46257</v>
      </c>
      <c r="G13" s="6">
        <v>267272.97</v>
      </c>
      <c r="H13" s="6">
        <v>267272.97</v>
      </c>
      <c r="I13">
        <v>0</v>
      </c>
      <c r="J13" t="s">
        <v>53</v>
      </c>
      <c r="K13" t="s">
        <v>76</v>
      </c>
    </row>
    <row r="14" spans="1:11">
      <c r="A14" t="s">
        <v>77</v>
      </c>
      <c r="B14" t="s">
        <v>56</v>
      </c>
      <c r="C14" t="s">
        <v>57</v>
      </c>
      <c r="D14" t="s">
        <v>58</v>
      </c>
      <c r="E14" s="5">
        <v>46117</v>
      </c>
      <c r="F14" s="5">
        <v>46147</v>
      </c>
      <c r="G14" s="6">
        <v>322700.8</v>
      </c>
      <c r="H14" s="6">
        <v>322700.8</v>
      </c>
      <c r="I14">
        <v>56</v>
      </c>
      <c r="J14" t="s">
        <v>43</v>
      </c>
      <c r="K14" t="s">
        <v>44</v>
      </c>
    </row>
    <row r="15" spans="1:11">
      <c r="A15" t="s">
        <v>78</v>
      </c>
      <c r="B15" t="s">
        <v>60</v>
      </c>
      <c r="C15" t="s">
        <v>61</v>
      </c>
      <c r="D15" t="s">
        <v>48</v>
      </c>
      <c r="E15" s="5">
        <v>46186</v>
      </c>
      <c r="F15" s="5">
        <v>46216</v>
      </c>
      <c r="G15" s="6">
        <v>120618.6</v>
      </c>
      <c r="H15" s="6">
        <v>0</v>
      </c>
      <c r="I15">
        <v>0</v>
      </c>
      <c r="J15" t="s">
        <v>53</v>
      </c>
      <c r="K15" t="s">
        <v>54</v>
      </c>
    </row>
    <row r="16" spans="1:11">
      <c r="A16" t="s">
        <v>79</v>
      </c>
      <c r="B16" t="s">
        <v>80</v>
      </c>
      <c r="C16" t="s">
        <v>81</v>
      </c>
      <c r="D16" t="s">
        <v>58</v>
      </c>
      <c r="E16" s="5">
        <v>46101</v>
      </c>
      <c r="F16" s="5">
        <v>46161</v>
      </c>
      <c r="G16" s="6">
        <v>269010.37</v>
      </c>
      <c r="H16" s="6">
        <v>269010.37</v>
      </c>
      <c r="I16">
        <v>42</v>
      </c>
      <c r="J16" t="s">
        <v>43</v>
      </c>
      <c r="K16" t="s">
        <v>44</v>
      </c>
    </row>
    <row r="17" spans="1:11">
      <c r="A17" t="s">
        <v>82</v>
      </c>
      <c r="B17" t="s">
        <v>83</v>
      </c>
      <c r="C17" t="s">
        <v>84</v>
      </c>
      <c r="D17" t="s">
        <v>70</v>
      </c>
      <c r="E17" s="5">
        <v>46107</v>
      </c>
      <c r="F17" s="5">
        <v>46137</v>
      </c>
      <c r="G17" s="6">
        <v>520474.97</v>
      </c>
      <c r="H17" s="6">
        <v>520474.97</v>
      </c>
      <c r="I17">
        <v>66</v>
      </c>
      <c r="J17" t="s">
        <v>49</v>
      </c>
      <c r="K17" t="s">
        <v>50</v>
      </c>
    </row>
    <row r="18" spans="1:11">
      <c r="A18" t="s">
        <v>85</v>
      </c>
      <c r="B18" t="s">
        <v>86</v>
      </c>
      <c r="C18" t="s">
        <v>87</v>
      </c>
      <c r="D18" t="s">
        <v>58</v>
      </c>
      <c r="E18" s="5">
        <v>46154</v>
      </c>
      <c r="F18" s="5">
        <v>46214</v>
      </c>
      <c r="G18" s="6">
        <v>578523.33</v>
      </c>
      <c r="H18" s="6">
        <v>578523.33</v>
      </c>
      <c r="I18">
        <v>0</v>
      </c>
      <c r="J18" t="s">
        <v>53</v>
      </c>
      <c r="K18" t="s">
        <v>76</v>
      </c>
    </row>
    <row r="19" spans="1:11">
      <c r="A19" t="s">
        <v>88</v>
      </c>
      <c r="B19" t="s">
        <v>64</v>
      </c>
      <c r="C19" t="s">
        <v>65</v>
      </c>
      <c r="D19" t="s">
        <v>42</v>
      </c>
      <c r="E19" s="5">
        <v>46118</v>
      </c>
      <c r="F19" s="5">
        <v>46178</v>
      </c>
      <c r="G19" s="6">
        <v>408865.53</v>
      </c>
      <c r="H19" s="6">
        <v>408865.53</v>
      </c>
      <c r="I19">
        <v>25</v>
      </c>
      <c r="J19" t="s">
        <v>62</v>
      </c>
      <c r="K19" t="s">
        <v>44</v>
      </c>
    </row>
    <row r="20" spans="1:11">
      <c r="A20" t="s">
        <v>89</v>
      </c>
      <c r="B20" t="s">
        <v>64</v>
      </c>
      <c r="C20" t="s">
        <v>65</v>
      </c>
      <c r="D20" t="s">
        <v>42</v>
      </c>
      <c r="E20" s="5">
        <v>46173</v>
      </c>
      <c r="F20" s="5">
        <v>46233</v>
      </c>
      <c r="G20" s="6">
        <v>612252.14</v>
      </c>
      <c r="H20" s="6">
        <v>0</v>
      </c>
      <c r="I20">
        <v>0</v>
      </c>
      <c r="J20" t="s">
        <v>53</v>
      </c>
      <c r="K20" t="s">
        <v>54</v>
      </c>
    </row>
    <row r="21" spans="1:11">
      <c r="A21" t="s">
        <v>90</v>
      </c>
      <c r="B21" t="s">
        <v>60</v>
      </c>
      <c r="C21" t="s">
        <v>61</v>
      </c>
      <c r="D21" t="s">
        <v>48</v>
      </c>
      <c r="E21" s="5">
        <v>46131</v>
      </c>
      <c r="F21" s="5">
        <v>46161</v>
      </c>
      <c r="G21" s="6">
        <v>461775.09</v>
      </c>
      <c r="H21" s="6">
        <v>461775.09</v>
      </c>
      <c r="I21">
        <v>42</v>
      </c>
      <c r="J21" t="s">
        <v>43</v>
      </c>
      <c r="K21" t="s">
        <v>44</v>
      </c>
    </row>
    <row r="22" spans="1:11">
      <c r="A22" t="s">
        <v>91</v>
      </c>
      <c r="B22" t="s">
        <v>92</v>
      </c>
      <c r="C22" t="s">
        <v>93</v>
      </c>
      <c r="D22" t="s">
        <v>58</v>
      </c>
      <c r="E22" s="5">
        <v>46198</v>
      </c>
      <c r="F22" s="5">
        <v>46228</v>
      </c>
      <c r="G22" s="6">
        <v>572358.8199999999</v>
      </c>
      <c r="H22" s="6">
        <v>572358.8199999999</v>
      </c>
      <c r="I22">
        <v>0</v>
      </c>
      <c r="J22" t="s">
        <v>53</v>
      </c>
      <c r="K22" t="s">
        <v>76</v>
      </c>
    </row>
    <row r="23" spans="1:11">
      <c r="A23" t="s">
        <v>94</v>
      </c>
      <c r="B23" t="s">
        <v>72</v>
      </c>
      <c r="C23" t="s">
        <v>73</v>
      </c>
      <c r="D23" t="s">
        <v>48</v>
      </c>
      <c r="E23" s="5">
        <v>46185</v>
      </c>
      <c r="F23" s="5">
        <v>46230</v>
      </c>
      <c r="G23" s="6">
        <v>270735.55</v>
      </c>
      <c r="H23" s="6">
        <v>0</v>
      </c>
      <c r="I23">
        <v>0</v>
      </c>
      <c r="J23" t="s">
        <v>53</v>
      </c>
      <c r="K23" t="s">
        <v>54</v>
      </c>
    </row>
    <row r="24" spans="1:11">
      <c r="A24" t="s">
        <v>95</v>
      </c>
      <c r="B24" t="s">
        <v>64</v>
      </c>
      <c r="C24" t="s">
        <v>65</v>
      </c>
      <c r="D24" t="s">
        <v>42</v>
      </c>
      <c r="E24" s="5">
        <v>46166</v>
      </c>
      <c r="F24" s="5">
        <v>46226</v>
      </c>
      <c r="G24" s="6">
        <v>289901.12</v>
      </c>
      <c r="H24" s="6">
        <v>0</v>
      </c>
      <c r="I24">
        <v>0</v>
      </c>
      <c r="J24" t="s">
        <v>53</v>
      </c>
      <c r="K24" t="s">
        <v>54</v>
      </c>
    </row>
    <row r="25" spans="1:11">
      <c r="A25" t="s">
        <v>96</v>
      </c>
      <c r="B25" t="s">
        <v>60</v>
      </c>
      <c r="C25" t="s">
        <v>61</v>
      </c>
      <c r="D25" t="s">
        <v>48</v>
      </c>
      <c r="E25" s="5">
        <v>46162</v>
      </c>
      <c r="F25" s="5">
        <v>46222</v>
      </c>
      <c r="G25" s="6">
        <v>571763.24</v>
      </c>
      <c r="H25" s="6">
        <v>0</v>
      </c>
      <c r="I25">
        <v>0</v>
      </c>
      <c r="J25" t="s">
        <v>53</v>
      </c>
      <c r="K25" t="s">
        <v>54</v>
      </c>
    </row>
    <row r="26" spans="1:11">
      <c r="A26" t="s">
        <v>97</v>
      </c>
      <c r="B26" t="s">
        <v>60</v>
      </c>
      <c r="C26" t="s">
        <v>61</v>
      </c>
      <c r="D26" t="s">
        <v>48</v>
      </c>
      <c r="E26" s="5">
        <v>46181</v>
      </c>
      <c r="F26" s="5">
        <v>46241</v>
      </c>
      <c r="G26" s="6">
        <v>124277.53</v>
      </c>
      <c r="H26" s="6">
        <v>124277.53</v>
      </c>
      <c r="I26">
        <v>0</v>
      </c>
      <c r="J26" t="s">
        <v>53</v>
      </c>
      <c r="K26" t="s">
        <v>76</v>
      </c>
    </row>
    <row r="27" spans="1:11">
      <c r="A27" t="s">
        <v>98</v>
      </c>
      <c r="B27" t="s">
        <v>83</v>
      </c>
      <c r="C27" t="s">
        <v>84</v>
      </c>
      <c r="D27" t="s">
        <v>70</v>
      </c>
      <c r="E27" s="5">
        <v>46192</v>
      </c>
      <c r="F27" s="5">
        <v>46237</v>
      </c>
      <c r="G27" s="6">
        <v>355535.81</v>
      </c>
      <c r="H27" s="6">
        <v>0</v>
      </c>
      <c r="I27">
        <v>0</v>
      </c>
      <c r="J27" t="s">
        <v>53</v>
      </c>
      <c r="K27" t="s">
        <v>54</v>
      </c>
    </row>
    <row r="28" spans="1:11">
      <c r="A28" t="s">
        <v>99</v>
      </c>
      <c r="B28" t="s">
        <v>64</v>
      </c>
      <c r="C28" t="s">
        <v>65</v>
      </c>
      <c r="D28" t="s">
        <v>42</v>
      </c>
      <c r="E28" s="5">
        <v>46195</v>
      </c>
      <c r="F28" s="5">
        <v>46240</v>
      </c>
      <c r="G28" s="6">
        <v>361321.14</v>
      </c>
      <c r="H28" s="6">
        <v>0</v>
      </c>
      <c r="I28">
        <v>0</v>
      </c>
      <c r="J28" t="s">
        <v>53</v>
      </c>
      <c r="K28" t="s">
        <v>54</v>
      </c>
    </row>
    <row r="29" spans="1:11">
      <c r="A29" t="s">
        <v>100</v>
      </c>
      <c r="B29" t="s">
        <v>80</v>
      </c>
      <c r="C29" t="s">
        <v>81</v>
      </c>
      <c r="D29" t="s">
        <v>58</v>
      </c>
      <c r="E29" s="5">
        <v>46137</v>
      </c>
      <c r="F29" s="5">
        <v>46197</v>
      </c>
      <c r="G29" s="6">
        <v>702312.95</v>
      </c>
      <c r="H29" s="6">
        <v>702312.95</v>
      </c>
      <c r="I29">
        <v>6</v>
      </c>
      <c r="J29" t="s">
        <v>62</v>
      </c>
      <c r="K29" t="s">
        <v>44</v>
      </c>
    </row>
    <row r="30" spans="1:11">
      <c r="A30" t="s">
        <v>101</v>
      </c>
      <c r="B30" t="s">
        <v>72</v>
      </c>
      <c r="C30" t="s">
        <v>73</v>
      </c>
      <c r="D30" t="s">
        <v>48</v>
      </c>
      <c r="E30" s="5">
        <v>46142</v>
      </c>
      <c r="F30" s="5">
        <v>46172</v>
      </c>
      <c r="G30" s="6">
        <v>224101.41</v>
      </c>
      <c r="H30" s="6">
        <v>224101.41</v>
      </c>
      <c r="I30">
        <v>31</v>
      </c>
      <c r="J30" t="s">
        <v>43</v>
      </c>
      <c r="K30" t="s">
        <v>44</v>
      </c>
    </row>
    <row r="31" spans="1:11">
      <c r="A31" t="s">
        <v>102</v>
      </c>
      <c r="B31" t="s">
        <v>86</v>
      </c>
      <c r="C31" t="s">
        <v>87</v>
      </c>
      <c r="D31" t="s">
        <v>58</v>
      </c>
      <c r="E31" s="5">
        <v>46183</v>
      </c>
      <c r="F31" s="5">
        <v>46228</v>
      </c>
      <c r="G31" s="6">
        <v>166254.45</v>
      </c>
      <c r="H31" s="6">
        <v>0</v>
      </c>
      <c r="I31">
        <v>0</v>
      </c>
      <c r="J31" t="s">
        <v>53</v>
      </c>
      <c r="K31" t="s">
        <v>54</v>
      </c>
    </row>
    <row r="32" spans="1:11">
      <c r="A32" t="s">
        <v>103</v>
      </c>
      <c r="B32" t="s">
        <v>80</v>
      </c>
      <c r="C32" t="s">
        <v>81</v>
      </c>
      <c r="D32" t="s">
        <v>58</v>
      </c>
      <c r="E32" s="5">
        <v>46139</v>
      </c>
      <c r="F32" s="5">
        <v>46169</v>
      </c>
      <c r="G32" s="6">
        <v>580779.49</v>
      </c>
      <c r="H32" s="6">
        <v>580779.49</v>
      </c>
      <c r="I32">
        <v>34</v>
      </c>
      <c r="J32" t="s">
        <v>43</v>
      </c>
      <c r="K32" t="s">
        <v>44</v>
      </c>
    </row>
    <row r="33" spans="1:11">
      <c r="A33" t="s">
        <v>104</v>
      </c>
      <c r="B33" t="s">
        <v>68</v>
      </c>
      <c r="C33" t="s">
        <v>69</v>
      </c>
      <c r="D33" t="s">
        <v>70</v>
      </c>
      <c r="E33" s="5">
        <v>46185</v>
      </c>
      <c r="F33" s="5">
        <v>46215</v>
      </c>
      <c r="G33" s="6">
        <v>317088.77</v>
      </c>
      <c r="H33" s="6">
        <v>0</v>
      </c>
      <c r="I33">
        <v>0</v>
      </c>
      <c r="J33" t="s">
        <v>53</v>
      </c>
      <c r="K33" t="s">
        <v>54</v>
      </c>
    </row>
    <row r="34" spans="1:11">
      <c r="A34" t="s">
        <v>105</v>
      </c>
      <c r="B34" t="s">
        <v>64</v>
      </c>
      <c r="C34" t="s">
        <v>65</v>
      </c>
      <c r="D34" t="s">
        <v>42</v>
      </c>
      <c r="E34" s="5">
        <v>46194</v>
      </c>
      <c r="F34" s="5">
        <v>46239</v>
      </c>
      <c r="G34" s="6">
        <v>321048.76</v>
      </c>
      <c r="H34" s="6">
        <v>0</v>
      </c>
      <c r="I34">
        <v>0</v>
      </c>
      <c r="J34" t="s">
        <v>53</v>
      </c>
      <c r="K34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28.7109375" customWidth="1"/>
    <col min="4" max="6" width="16.7109375" customWidth="1"/>
    <col min="7" max="7" width="20.7109375" customWidth="1"/>
    <col min="8" max="8" width="30.7109375" customWidth="1"/>
  </cols>
  <sheetData>
    <row r="1" spans="1:8" ht="30" customHeight="1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16</v>
      </c>
      <c r="H1" t="s">
        <v>112</v>
      </c>
    </row>
    <row r="2" spans="1:8">
      <c r="A2" s="7" t="s">
        <v>113</v>
      </c>
      <c r="B2" s="5">
        <v>46203</v>
      </c>
      <c r="C2" s="7" t="s">
        <v>114</v>
      </c>
      <c r="D2" s="6">
        <v>719003.8199999999</v>
      </c>
      <c r="E2" s="6">
        <v>0</v>
      </c>
      <c r="F2" s="7" t="s">
        <v>52</v>
      </c>
      <c r="G2" s="7" t="s">
        <v>18</v>
      </c>
      <c r="H2" s="3" t="s">
        <v>115</v>
      </c>
    </row>
    <row r="3" spans="1:8">
      <c r="A3" s="7" t="s">
        <v>116</v>
      </c>
      <c r="B3" s="5">
        <v>46203</v>
      </c>
      <c r="C3" s="7" t="s">
        <v>117</v>
      </c>
      <c r="D3" s="6">
        <v>120618.6</v>
      </c>
      <c r="E3" s="6">
        <v>0</v>
      </c>
      <c r="F3" s="7" t="s">
        <v>78</v>
      </c>
      <c r="G3" s="7" t="s">
        <v>18</v>
      </c>
      <c r="H3" s="3" t="s">
        <v>115</v>
      </c>
    </row>
    <row r="4" spans="1:8">
      <c r="A4" s="7" t="s">
        <v>118</v>
      </c>
      <c r="B4" s="5">
        <v>46203</v>
      </c>
      <c r="C4" s="7" t="s">
        <v>119</v>
      </c>
      <c r="D4" s="6">
        <v>612252.14</v>
      </c>
      <c r="E4" s="6">
        <v>0</v>
      </c>
      <c r="F4" s="7" t="s">
        <v>89</v>
      </c>
      <c r="G4" s="7" t="s">
        <v>18</v>
      </c>
      <c r="H4" s="3" t="s">
        <v>115</v>
      </c>
    </row>
    <row r="5" spans="1:8">
      <c r="A5" s="7" t="s">
        <v>120</v>
      </c>
      <c r="B5" s="5">
        <v>46203</v>
      </c>
      <c r="C5" s="7" t="s">
        <v>121</v>
      </c>
      <c r="D5" s="6">
        <v>270735.55</v>
      </c>
      <c r="E5" s="6">
        <v>0</v>
      </c>
      <c r="F5" s="7"/>
      <c r="G5" s="7" t="s">
        <v>22</v>
      </c>
      <c r="H5" s="3" t="s">
        <v>122</v>
      </c>
    </row>
    <row r="6" spans="1:8">
      <c r="A6" s="7" t="s">
        <v>123</v>
      </c>
      <c r="B6" s="5">
        <v>46203</v>
      </c>
      <c r="C6" s="7" t="s">
        <v>119</v>
      </c>
      <c r="D6" s="6">
        <v>289901.12</v>
      </c>
      <c r="E6" s="6">
        <v>0</v>
      </c>
      <c r="F6" s="7" t="s">
        <v>95</v>
      </c>
      <c r="G6" s="7" t="s">
        <v>18</v>
      </c>
      <c r="H6" s="3" t="s">
        <v>115</v>
      </c>
    </row>
    <row r="7" spans="1:8">
      <c r="A7" s="7" t="s">
        <v>124</v>
      </c>
      <c r="B7" s="5">
        <v>46203</v>
      </c>
      <c r="C7" s="7" t="s">
        <v>117</v>
      </c>
      <c r="D7" s="6">
        <v>571736.47</v>
      </c>
      <c r="E7" s="6">
        <v>0</v>
      </c>
      <c r="F7" s="7" t="s">
        <v>96</v>
      </c>
      <c r="G7" s="7" t="s">
        <v>20</v>
      </c>
      <c r="H7" s="3" t="s">
        <v>125</v>
      </c>
    </row>
    <row r="8" spans="1:8">
      <c r="A8" s="7" t="s">
        <v>126</v>
      </c>
      <c r="B8" s="5">
        <v>46203</v>
      </c>
      <c r="C8" s="7" t="s">
        <v>127</v>
      </c>
      <c r="D8" s="6">
        <v>355535.81</v>
      </c>
      <c r="E8" s="6">
        <v>0</v>
      </c>
      <c r="F8" s="7" t="s">
        <v>98</v>
      </c>
      <c r="G8" s="7" t="s">
        <v>18</v>
      </c>
      <c r="H8" s="3" t="s">
        <v>115</v>
      </c>
    </row>
    <row r="9" spans="1:8">
      <c r="A9" s="7" t="s">
        <v>128</v>
      </c>
      <c r="B9" s="5">
        <v>46203</v>
      </c>
      <c r="C9" s="7" t="s">
        <v>119</v>
      </c>
      <c r="D9" s="6">
        <v>361321.14</v>
      </c>
      <c r="E9" s="6">
        <v>0</v>
      </c>
      <c r="F9" s="7" t="s">
        <v>99</v>
      </c>
      <c r="G9" s="7" t="s">
        <v>18</v>
      </c>
      <c r="H9" s="3" t="s">
        <v>115</v>
      </c>
    </row>
    <row r="10" spans="1:8">
      <c r="A10" s="7" t="s">
        <v>129</v>
      </c>
      <c r="B10" s="5">
        <v>46203</v>
      </c>
      <c r="C10" s="7" t="s">
        <v>130</v>
      </c>
      <c r="D10" s="6">
        <v>166254.45</v>
      </c>
      <c r="E10" s="6">
        <v>0</v>
      </c>
      <c r="F10" s="7" t="s">
        <v>102</v>
      </c>
      <c r="G10" s="7" t="s">
        <v>18</v>
      </c>
      <c r="H10" s="3" t="s">
        <v>115</v>
      </c>
    </row>
    <row r="11" spans="1:8">
      <c r="A11" s="7" t="s">
        <v>131</v>
      </c>
      <c r="B11" s="5">
        <v>46203</v>
      </c>
      <c r="C11" s="7" t="s">
        <v>132</v>
      </c>
      <c r="D11" s="6">
        <v>317088.77</v>
      </c>
      <c r="E11" s="6">
        <v>0</v>
      </c>
      <c r="F11" s="7" t="s">
        <v>104</v>
      </c>
      <c r="G11" s="7" t="s">
        <v>18</v>
      </c>
      <c r="H11" s="3" t="s">
        <v>115</v>
      </c>
    </row>
    <row r="12" spans="1:8">
      <c r="A12" s="7" t="s">
        <v>133</v>
      </c>
      <c r="B12" s="5">
        <v>46203</v>
      </c>
      <c r="C12" s="7" t="s">
        <v>119</v>
      </c>
      <c r="D12" s="6">
        <v>321048.76</v>
      </c>
      <c r="E12" s="6">
        <v>0</v>
      </c>
      <c r="F12" s="7"/>
      <c r="G12" s="7" t="s">
        <v>22</v>
      </c>
      <c r="H12" s="3" t="s">
        <v>122</v>
      </c>
    </row>
    <row r="13" spans="1:8">
      <c r="A13" s="7" t="s">
        <v>134</v>
      </c>
      <c r="B13" s="5">
        <v>46193</v>
      </c>
      <c r="C13" s="7" t="s">
        <v>135</v>
      </c>
      <c r="D13" s="6">
        <v>0</v>
      </c>
      <c r="E13" s="6">
        <v>938.8200000000001</v>
      </c>
      <c r="F13" s="7"/>
      <c r="G13" s="7" t="s">
        <v>24</v>
      </c>
      <c r="H13" s="3" t="s">
        <v>136</v>
      </c>
    </row>
    <row r="14" spans="1:8">
      <c r="A14" s="7" t="s">
        <v>137</v>
      </c>
      <c r="B14" s="5">
        <v>46201</v>
      </c>
      <c r="C14" s="7" t="s">
        <v>138</v>
      </c>
      <c r="D14" s="6">
        <v>0</v>
      </c>
      <c r="E14" s="6">
        <v>271.42</v>
      </c>
      <c r="F14" s="7"/>
      <c r="G14" s="7" t="s">
        <v>24</v>
      </c>
      <c r="H14" s="3" t="s">
        <v>136</v>
      </c>
    </row>
    <row r="15" spans="1:8">
      <c r="A15" s="7" t="s">
        <v>139</v>
      </c>
      <c r="B15" s="5">
        <v>46179</v>
      </c>
      <c r="C15" s="7" t="s">
        <v>140</v>
      </c>
      <c r="D15" s="6">
        <v>0</v>
      </c>
      <c r="E15" s="6">
        <v>1421.44</v>
      </c>
      <c r="F15" s="7"/>
      <c r="G15" s="7" t="s">
        <v>24</v>
      </c>
      <c r="H15" s="3" t="s">
        <v>136</v>
      </c>
    </row>
    <row r="16" spans="1:8">
      <c r="A16" s="7" t="s">
        <v>141</v>
      </c>
      <c r="B16" s="5">
        <v>46202</v>
      </c>
      <c r="C16" s="7" t="s">
        <v>142</v>
      </c>
      <c r="D16" s="6">
        <v>2198.68</v>
      </c>
      <c r="E16" s="6">
        <v>0</v>
      </c>
      <c r="F16" s="7"/>
      <c r="G16" s="7" t="s">
        <v>24</v>
      </c>
      <c r="H16" s="3" t="s">
        <v>136</v>
      </c>
    </row>
    <row r="17" spans="1:8">
      <c r="A17" s="7" t="s">
        <v>143</v>
      </c>
      <c r="B17" s="5">
        <v>46200</v>
      </c>
      <c r="C17" s="7" t="s">
        <v>144</v>
      </c>
      <c r="D17" s="6">
        <v>5351.44</v>
      </c>
      <c r="E17" s="6">
        <v>0</v>
      </c>
      <c r="F17" s="7"/>
      <c r="G17" s="7" t="s">
        <v>24</v>
      </c>
      <c r="H17" s="3" t="s">
        <v>136</v>
      </c>
    </row>
    <row r="18" spans="1:8">
      <c r="A18" s="7" t="s">
        <v>145</v>
      </c>
      <c r="B18" s="5">
        <v>46200</v>
      </c>
      <c r="C18" s="7" t="s">
        <v>146</v>
      </c>
      <c r="D18" s="6">
        <v>7185.54</v>
      </c>
      <c r="E18" s="6">
        <v>0</v>
      </c>
      <c r="F18" s="7"/>
      <c r="G18" s="7" t="s">
        <v>24</v>
      </c>
      <c r="H18" s="3" t="s">
        <v>136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4.7109375" customWidth="1"/>
    <col min="3" max="3" width="20.7109375" customWidth="1"/>
  </cols>
  <sheetData>
    <row r="1" spans="1:3" ht="30" customHeight="1">
      <c r="A1" s="4" t="s">
        <v>147</v>
      </c>
      <c r="B1" s="4" t="s">
        <v>148</v>
      </c>
      <c r="C1" s="4" t="s">
        <v>149</v>
      </c>
    </row>
    <row r="2" spans="1:3">
      <c r="A2" s="7" t="s">
        <v>53</v>
      </c>
      <c r="B2" s="7">
        <v>15</v>
      </c>
      <c r="C2" s="6">
        <v>1542432.65</v>
      </c>
    </row>
    <row r="3" spans="1:3">
      <c r="A3" s="7" t="s">
        <v>62</v>
      </c>
      <c r="B3" s="7">
        <v>7</v>
      </c>
      <c r="C3" s="6">
        <v>2798224.86</v>
      </c>
    </row>
    <row r="4" spans="1:3">
      <c r="A4" s="7" t="s">
        <v>43</v>
      </c>
      <c r="B4" s="7">
        <v>8</v>
      </c>
      <c r="C4" s="6">
        <v>2855308.04</v>
      </c>
    </row>
    <row r="5" spans="1:3">
      <c r="A5" s="7" t="s">
        <v>49</v>
      </c>
      <c r="B5" s="7">
        <v>3</v>
      </c>
      <c r="C5" s="6">
        <v>1768725.56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20.7109375" customWidth="1"/>
    <col min="4" max="4" width="34.7109375" customWidth="1"/>
  </cols>
  <sheetData>
    <row r="1" spans="1:4" ht="30" customHeight="1">
      <c r="A1" s="1" t="s">
        <v>150</v>
      </c>
    </row>
    <row r="3" spans="1:4">
      <c r="A3" s="4" t="s">
        <v>151</v>
      </c>
      <c r="B3" s="4" t="s">
        <v>152</v>
      </c>
      <c r="C3" s="4" t="s">
        <v>153</v>
      </c>
      <c r="D3" s="4" t="s">
        <v>154</v>
      </c>
    </row>
    <row r="4" spans="1:4">
      <c r="A4" s="2" t="s">
        <v>155</v>
      </c>
      <c r="B4" s="7">
        <f>COUNTA('Bank Statement'!A2:A18)</f>
        <v>17</v>
      </c>
      <c r="C4" s="7">
        <v>17</v>
      </c>
      <c r="D4" s="3" t="s">
        <v>156</v>
      </c>
    </row>
    <row r="5" spans="1:4">
      <c r="A5" s="2" t="s">
        <v>157</v>
      </c>
      <c r="B5" s="6">
        <f>SUM('Bank Statement'!D2:D18)</f>
        <v>4120232.29</v>
      </c>
      <c r="C5" s="6">
        <v>4120232.29</v>
      </c>
      <c r="D5" s="3" t="s">
        <v>158</v>
      </c>
    </row>
    <row r="6" spans="1:4">
      <c r="A6" s="2" t="s">
        <v>159</v>
      </c>
      <c r="B6" s="6">
        <f>SUM('Bank Statement'!E2:E18)</f>
        <v>2631.68</v>
      </c>
      <c r="C6" s="6">
        <v>2631.68</v>
      </c>
      <c r="D6" s="3" t="s">
        <v>160</v>
      </c>
    </row>
    <row r="7" spans="1:4">
      <c r="A7" s="2" t="s">
        <v>161</v>
      </c>
      <c r="B7" s="7">
        <f>COUNTA('Bank Statement'!G2:G18)</f>
        <v>17</v>
      </c>
      <c r="C7" s="7">
        <v>17</v>
      </c>
      <c r="D7" s="3" t="s">
        <v>162</v>
      </c>
    </row>
    <row r="8" spans="1:4">
      <c r="A8" s="2" t="s">
        <v>163</v>
      </c>
      <c r="B8" s="7">
        <f>COUNTIF('Bank Statement'!G2:G18,"Exception")</f>
        <v>0</v>
      </c>
      <c r="C8" s="7"/>
      <c r="D8" s="3" t="s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6.7109375" customWidth="1"/>
    <col min="3" max="3" width="14.7109375" customWidth="1"/>
    <col min="4" max="4" width="40.7109375" customWidth="1"/>
  </cols>
  <sheetData>
    <row r="1" spans="1:4" ht="30" customHeight="1">
      <c r="A1" s="1" t="s">
        <v>165</v>
      </c>
    </row>
    <row r="3" spans="1:4">
      <c r="A3" s="4" t="s">
        <v>166</v>
      </c>
      <c r="B3" s="4" t="s">
        <v>167</v>
      </c>
      <c r="C3" s="4" t="s">
        <v>168</v>
      </c>
      <c r="D3" s="4" t="s">
        <v>169</v>
      </c>
    </row>
    <row r="4" spans="1:4">
      <c r="A4" s="7" t="s">
        <v>170</v>
      </c>
      <c r="B4" s="8">
        <v>0.018</v>
      </c>
      <c r="C4" s="7" t="s">
        <v>171</v>
      </c>
      <c r="D4" s="7" t="s">
        <v>172</v>
      </c>
    </row>
    <row r="5" spans="1:4">
      <c r="A5" s="7" t="s">
        <v>173</v>
      </c>
      <c r="B5" s="8">
        <v>0.011</v>
      </c>
      <c r="C5" s="7" t="s">
        <v>171</v>
      </c>
      <c r="D5" s="7" t="s">
        <v>172</v>
      </c>
    </row>
    <row r="6" spans="1:4">
      <c r="A6" s="7" t="s">
        <v>174</v>
      </c>
      <c r="B6" s="7">
        <v>0.93</v>
      </c>
      <c r="C6" s="7" t="s">
        <v>175</v>
      </c>
      <c r="D6" s="7" t="s">
        <v>176</v>
      </c>
    </row>
    <row r="7" spans="1:4">
      <c r="A7" s="7" t="s">
        <v>177</v>
      </c>
      <c r="B7" s="7">
        <v>1.06</v>
      </c>
      <c r="C7" s="7" t="s">
        <v>175</v>
      </c>
      <c r="D7" s="7" t="s">
        <v>176</v>
      </c>
    </row>
    <row r="8" spans="1:4">
      <c r="A8" s="7" t="s">
        <v>178</v>
      </c>
      <c r="B8" s="7">
        <v>45</v>
      </c>
      <c r="C8" s="7" t="s">
        <v>179</v>
      </c>
      <c r="D8" s="7" t="s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20.7109375" customWidth="1"/>
  </cols>
  <sheetData>
    <row r="1" spans="1:4" ht="30" customHeight="1">
      <c r="A1" s="1" t="s">
        <v>181</v>
      </c>
    </row>
    <row r="3" spans="1:4">
      <c r="A3" s="4" t="s">
        <v>182</v>
      </c>
      <c r="B3" s="4" t="s">
        <v>183</v>
      </c>
      <c r="C3" s="4" t="s">
        <v>167</v>
      </c>
      <c r="D3" s="4" t="s">
        <v>184</v>
      </c>
    </row>
    <row r="4" spans="1:4">
      <c r="A4" s="7" t="s">
        <v>185</v>
      </c>
      <c r="B4" s="6">
        <f>C4*'Forecast Assumptions'!$B$6</f>
        <v>757392.0</v>
      </c>
      <c r="C4" s="6">
        <f>800000.0*(1+'Forecast Assumptions'!$B$4)^1</f>
        <v>814400.0</v>
      </c>
      <c r="D4" s="6">
        <f>C4*'Forecast Assumptions'!$B$7</f>
        <v>863264.0</v>
      </c>
    </row>
    <row r="5" spans="1:4">
      <c r="A5" s="7" t="s">
        <v>186</v>
      </c>
      <c r="B5" s="6">
        <f>C5*'Forecast Assumptions'!$B$6</f>
        <v>771025.0560000001</v>
      </c>
      <c r="C5" s="6">
        <f>800000.0*(1+'Forecast Assumptions'!$B$4)^2</f>
        <v>829059.2000000001</v>
      </c>
      <c r="D5" s="6">
        <f>C5*'Forecast Assumptions'!$B$7</f>
        <v>878802.7520000001</v>
      </c>
    </row>
    <row r="6" spans="1:4">
      <c r="A6" s="7" t="s">
        <v>187</v>
      </c>
      <c r="B6" s="6">
        <f>C6*'Forecast Assumptions'!$B$6</f>
        <v>784903.507008</v>
      </c>
      <c r="C6" s="6">
        <f>800000.0*(1+'Forecast Assumptions'!$B$4)^3</f>
        <v>843982.2656</v>
      </c>
      <c r="D6" s="6">
        <f>C6*'Forecast Assumptions'!$B$7</f>
        <v>894621.2015360001</v>
      </c>
    </row>
    <row r="7" spans="1:4">
      <c r="A7" s="7" t="s">
        <v>188</v>
      </c>
      <c r="B7" s="6">
        <f>C7*'Forecast Assumptions'!$B$6</f>
        <v>799031.7701341441</v>
      </c>
      <c r="C7" s="6">
        <f>800000.0*(1+'Forecast Assumptions'!$B$4)^4</f>
        <v>859173.9463808001</v>
      </c>
      <c r="D7" s="6">
        <f>C7*'Forecast Assumptions'!$B$7</f>
        <v>910724.3831636482</v>
      </c>
    </row>
    <row r="8" spans="1:4">
      <c r="A8" s="7" t="s">
        <v>189</v>
      </c>
      <c r="B8" s="6">
        <f>C8*'Forecast Assumptions'!$B$6</f>
        <v>813414.3419965588</v>
      </c>
      <c r="C8" s="6">
        <f>800000.0*(1+'Forecast Assumptions'!$B$4)^5</f>
        <v>874639.0774156546</v>
      </c>
      <c r="D8" s="6">
        <f>C8*'Forecast Assumptions'!$B$7</f>
        <v>927117.4220605938</v>
      </c>
    </row>
    <row r="9" spans="1:4">
      <c r="A9" s="7" t="s">
        <v>190</v>
      </c>
      <c r="B9" s="6">
        <f>C9*'Forecast Assumptions'!$B$6</f>
        <v>828055.8001524968</v>
      </c>
      <c r="C9" s="6">
        <f>800000.0*(1+'Forecast Assumptions'!$B$4)^6</f>
        <v>890382.5808091363</v>
      </c>
      <c r="D9" s="6">
        <f>C9*'Forecast Assumptions'!$B$7</f>
        <v>943805.5356576846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 Here</vt:lpstr>
      <vt:lpstr>Match Rules</vt:lpstr>
      <vt:lpstr>AR Ledger</vt:lpstr>
      <vt:lpstr>Bank Statement</vt:lpstr>
      <vt:lpstr>Ageing Profile</vt:lpstr>
      <vt:lpstr>Reconciliation</vt:lpstr>
      <vt:lpstr>Forecast Assumptions</vt:lpstr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2026-09-27T19:51:57Z</dcterms:created>
  <dcterms:modified xsi:type="dcterms:W3CDTF">2026-09-27T19:51:57Z</dcterms:modified>
</cp:coreProperties>
</file>