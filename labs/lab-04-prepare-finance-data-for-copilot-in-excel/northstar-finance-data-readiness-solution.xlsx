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ata Dictionary" sheetId="2" r:id="rId2"/>
    <sheet name="Transactions" sheetId="3" r:id="rId3"/>
    <sheet name="Quality &amp; Controls" sheetId="4" r:id="rId4"/>
    <sheet name="Copilot Comparison" sheetId="5" r:id="rId5"/>
  </sheets>
  <calcPr calcId="124519" fullCalcOnLoad="1"/>
</workbook>
</file>

<file path=xl/sharedStrings.xml><?xml version="1.0" encoding="utf-8"?>
<sst xmlns="http://schemas.openxmlformats.org/spreadsheetml/2006/main" count="1532" uniqueCount="333">
  <si>
    <t>Lab 4: Prepare Finance Data for Copilot in Excel</t>
  </si>
  <si>
    <t>Course</t>
  </si>
  <si>
    <t>Microsoft Copilot for Finance (TGS-2026065050)</t>
  </si>
  <si>
    <t>TSC mapping</t>
  </si>
  <si>
    <t>K1 · A2</t>
  </si>
  <si>
    <t>Objective</t>
  </si>
  <si>
    <t>Convert a messy finance export into an analysis-ready Excel Table with reconciled control totals.</t>
  </si>
  <si>
    <t>Scenario</t>
  </si>
  <si>
    <t>The FP&amp;A team receives a mixed-quality export from the billing system. Copilot will answer confidently on dirty data, so the data must be fixed first.</t>
  </si>
  <si>
    <t>Expected output</t>
  </si>
  <si>
    <t>A clean transactions table, a quality log and reconciled control totals.</t>
  </si>
  <si>
    <t>Data notice</t>
  </si>
  <si>
    <t>All names, accounts, transactions and scores are synthetic. Do not replace them with live personal or customer data.</t>
  </si>
  <si>
    <t>Acceptance</t>
  </si>
  <si>
    <t>Duplicate count is zero, required-field errors are zero, cleaned totals reconcile to the control figures, and the before-and-after Copilot answers are documented.</t>
  </si>
  <si>
    <t>What each column means, and what "clean" looks like</t>
  </si>
  <si>
    <t>Column</t>
  </si>
  <si>
    <t>Expected type</t>
  </si>
  <si>
    <t>Rule</t>
  </si>
  <si>
    <t>JournalID</t>
  </si>
  <si>
    <t>Text</t>
  </si>
  <si>
    <t>Unique. Never edit an ID to fix a duplicate; investigate it.</t>
  </si>
  <si>
    <t>Period</t>
  </si>
  <si>
    <t>Text YYYY-MM</t>
  </si>
  <si>
    <t>Must match the posting date month.</t>
  </si>
  <si>
    <t>PostingDate</t>
  </si>
  <si>
    <t>Date</t>
  </si>
  <si>
    <t>A real date value, not text. Must fall in H1 FY2026.</t>
  </si>
  <si>
    <t>Department</t>
  </si>
  <si>
    <t>One of the four Northstar departments. Never blank.</t>
  </si>
  <si>
    <t>Region</t>
  </si>
  <si>
    <t>Singapore, Malaysia, Hong Kong or Australia.</t>
  </si>
  <si>
    <t>AccountCode</t>
  </si>
  <si>
    <t>Four digits. 4xxx is revenue; 5xxx-7xxx is cost.</t>
  </si>
  <si>
    <t>AmountSGD</t>
  </si>
  <si>
    <t>Number</t>
  </si>
  <si>
    <t>Revenue positive, cost negative. Never stored as text.</t>
  </si>
  <si>
    <t>Status</t>
  </si>
  <si>
    <t>Posted or Pending.</t>
  </si>
  <si>
    <t>Required check</t>
  </si>
  <si>
    <t>Duplicate check</t>
  </si>
  <si>
    <t>Sign check</t>
  </si>
  <si>
    <t>JE-2026-00001</t>
  </si>
  <si>
    <t>2026-01</t>
  </si>
  <si>
    <t>Retail Banking</t>
  </si>
  <si>
    <t>Singapore</t>
  </si>
  <si>
    <t>4000</t>
  </si>
  <si>
    <t>Posted</t>
  </si>
  <si>
    <t>JE-2026-00002</t>
  </si>
  <si>
    <t>4100</t>
  </si>
  <si>
    <t>JE-2026-00003</t>
  </si>
  <si>
    <t>4200</t>
  </si>
  <si>
    <t>JE-2026-00004</t>
  </si>
  <si>
    <t>5000</t>
  </si>
  <si>
    <t>JE-2026-00005</t>
  </si>
  <si>
    <t>6100</t>
  </si>
  <si>
    <t>JE-2026-00006</t>
  </si>
  <si>
    <t>6200</t>
  </si>
  <si>
    <t>JE-2026-00007</t>
  </si>
  <si>
    <t>6300</t>
  </si>
  <si>
    <t>JE-2026-00008</t>
  </si>
  <si>
    <t>6400</t>
  </si>
  <si>
    <t>JE-2026-00009</t>
  </si>
  <si>
    <t>6500</t>
  </si>
  <si>
    <t>JE-2026-00010</t>
  </si>
  <si>
    <t>7000</t>
  </si>
  <si>
    <t>JE-2026-00011</t>
  </si>
  <si>
    <t>SME Lending</t>
  </si>
  <si>
    <t>Malaysia</t>
  </si>
  <si>
    <t>JE-2026-00012</t>
  </si>
  <si>
    <t>JE-2026-00013</t>
  </si>
  <si>
    <t>JE-2026-00014</t>
  </si>
  <si>
    <t>JE-2026-00015</t>
  </si>
  <si>
    <t>JE-2026-00016</t>
  </si>
  <si>
    <t>JE-2026-00017</t>
  </si>
  <si>
    <t>JE-2026-00018</t>
  </si>
  <si>
    <t>JE-2026-00019</t>
  </si>
  <si>
    <t>JE-2026-00020</t>
  </si>
  <si>
    <t>JE-2026-00021</t>
  </si>
  <si>
    <t>Enterprise</t>
  </si>
  <si>
    <t>JE-2026-00022</t>
  </si>
  <si>
    <t>JE-2026-00023</t>
  </si>
  <si>
    <t>JE-2026-00024</t>
  </si>
  <si>
    <t>JE-2026-00025</t>
  </si>
  <si>
    <t>JE-2026-00026</t>
  </si>
  <si>
    <t>JE-2026-00027</t>
  </si>
  <si>
    <t>JE-2026-00028</t>
  </si>
  <si>
    <t>JE-2026-00029</t>
  </si>
  <si>
    <t>JE-2026-00030</t>
  </si>
  <si>
    <t>JE-2026-00031</t>
  </si>
  <si>
    <t>Digital Payments</t>
  </si>
  <si>
    <t>Hong Kong</t>
  </si>
  <si>
    <t>JE-2026-00032</t>
  </si>
  <si>
    <t>JE-2026-00033</t>
  </si>
  <si>
    <t>JE-2026-00034</t>
  </si>
  <si>
    <t>JE-2026-00035</t>
  </si>
  <si>
    <t>JE-2026-00036</t>
  </si>
  <si>
    <t>JE-2026-00037</t>
  </si>
  <si>
    <t>JE-2026-00038</t>
  </si>
  <si>
    <t>JE-2026-00039</t>
  </si>
  <si>
    <t>JE-2026-00040</t>
  </si>
  <si>
    <t>JE-2026-00041</t>
  </si>
  <si>
    <t>2026-02</t>
  </si>
  <si>
    <t>JE-2026-00042</t>
  </si>
  <si>
    <t>JE-2026-00043</t>
  </si>
  <si>
    <t>JE-2026-00044</t>
  </si>
  <si>
    <t>JE-2026-00045</t>
  </si>
  <si>
    <t>JE-2026-00046</t>
  </si>
  <si>
    <t>JE-2026-00047</t>
  </si>
  <si>
    <t>JE-2026-00048</t>
  </si>
  <si>
    <t>JE-2026-00049</t>
  </si>
  <si>
    <t>JE-2026-00050</t>
  </si>
  <si>
    <t>JE-2026-00051</t>
  </si>
  <si>
    <t>JE-2026-00052</t>
  </si>
  <si>
    <t>JE-2026-00053</t>
  </si>
  <si>
    <t>JE-2026-00054</t>
  </si>
  <si>
    <t>JE-2026-00055</t>
  </si>
  <si>
    <t>JE-2026-00056</t>
  </si>
  <si>
    <t>JE-2026-00057</t>
  </si>
  <si>
    <t>JE-2026-00058</t>
  </si>
  <si>
    <t>JE-2026-00059</t>
  </si>
  <si>
    <t>JE-2026-00060</t>
  </si>
  <si>
    <t>JE-2026-00061</t>
  </si>
  <si>
    <t>JE-2026-00062</t>
  </si>
  <si>
    <t>JE-2026-00063</t>
  </si>
  <si>
    <t>JE-2026-00064</t>
  </si>
  <si>
    <t>JE-2026-00065</t>
  </si>
  <si>
    <t>JE-2026-00066</t>
  </si>
  <si>
    <t>JE-2026-00067</t>
  </si>
  <si>
    <t>JE-2026-00068</t>
  </si>
  <si>
    <t>JE-2026-00069</t>
  </si>
  <si>
    <t>JE-2026-00070</t>
  </si>
  <si>
    <t>JE-2026-00071</t>
  </si>
  <si>
    <t>JE-2026-00072</t>
  </si>
  <si>
    <t>JE-2026-00073</t>
  </si>
  <si>
    <t>JE-2026-00074</t>
  </si>
  <si>
    <t>JE-2026-00075</t>
  </si>
  <si>
    <t>JE-2026-00076</t>
  </si>
  <si>
    <t>JE-2026-00077</t>
  </si>
  <si>
    <t>JE-2026-00078</t>
  </si>
  <si>
    <t>JE-2026-00079</t>
  </si>
  <si>
    <t>JE-2026-00080</t>
  </si>
  <si>
    <t>JE-2026-00081</t>
  </si>
  <si>
    <t>2026-03</t>
  </si>
  <si>
    <t>JE-2026-00082</t>
  </si>
  <si>
    <t>JE-2026-00083</t>
  </si>
  <si>
    <t>JE-2026-00084</t>
  </si>
  <si>
    <t>JE-2026-00085</t>
  </si>
  <si>
    <t>JE-2026-00086</t>
  </si>
  <si>
    <t>JE-2026-00087</t>
  </si>
  <si>
    <t>JE-2026-00088</t>
  </si>
  <si>
    <t>JE-2026-00089</t>
  </si>
  <si>
    <t>JE-2026-00090</t>
  </si>
  <si>
    <t>JE-2026-00091</t>
  </si>
  <si>
    <t>JE-2026-00092</t>
  </si>
  <si>
    <t>JE-2026-00093</t>
  </si>
  <si>
    <t>JE-2026-00094</t>
  </si>
  <si>
    <t>JE-2026-00095</t>
  </si>
  <si>
    <t>JE-2026-00096</t>
  </si>
  <si>
    <t>JE-2026-00097</t>
  </si>
  <si>
    <t>JE-2026-00098</t>
  </si>
  <si>
    <t>JE-2026-00099</t>
  </si>
  <si>
    <t>JE-2026-00100</t>
  </si>
  <si>
    <t>JE-2026-00101</t>
  </si>
  <si>
    <t>JE-2026-00102</t>
  </si>
  <si>
    <t>JE-2026-00103</t>
  </si>
  <si>
    <t>JE-2026-00104</t>
  </si>
  <si>
    <t>JE-2026-00105</t>
  </si>
  <si>
    <t>JE-2026-00106</t>
  </si>
  <si>
    <t>JE-2026-00107</t>
  </si>
  <si>
    <t>JE-2026-00108</t>
  </si>
  <si>
    <t>JE-2026-00109</t>
  </si>
  <si>
    <t>JE-2026-00110</t>
  </si>
  <si>
    <t>JE-2026-00111</t>
  </si>
  <si>
    <t>JE-2026-00112</t>
  </si>
  <si>
    <t>JE-2026-00113</t>
  </si>
  <si>
    <t>JE-2026-00114</t>
  </si>
  <si>
    <t>JE-2026-00115</t>
  </si>
  <si>
    <t>JE-2026-00116</t>
  </si>
  <si>
    <t>JE-2026-00117</t>
  </si>
  <si>
    <t>JE-2026-00118</t>
  </si>
  <si>
    <t>JE-2026-00119</t>
  </si>
  <si>
    <t>JE-2026-00120</t>
  </si>
  <si>
    <t>JE-2026-00121</t>
  </si>
  <si>
    <t>2026-04</t>
  </si>
  <si>
    <t>JE-2026-00122</t>
  </si>
  <si>
    <t>JE-2026-00123</t>
  </si>
  <si>
    <t>JE-2026-00124</t>
  </si>
  <si>
    <t>JE-2026-00125</t>
  </si>
  <si>
    <t>JE-2026-00126</t>
  </si>
  <si>
    <t>JE-2026-00127</t>
  </si>
  <si>
    <t>JE-2026-00128</t>
  </si>
  <si>
    <t>JE-2026-00129</t>
  </si>
  <si>
    <t>JE-2026-00130</t>
  </si>
  <si>
    <t>JE-2026-00131</t>
  </si>
  <si>
    <t>JE-2026-00132</t>
  </si>
  <si>
    <t>JE-2026-00133</t>
  </si>
  <si>
    <t>JE-2026-00134</t>
  </si>
  <si>
    <t>JE-2026-00135</t>
  </si>
  <si>
    <t>JE-2026-00136</t>
  </si>
  <si>
    <t>JE-2026-00137</t>
  </si>
  <si>
    <t>JE-2026-00138</t>
  </si>
  <si>
    <t>JE-2026-00139</t>
  </si>
  <si>
    <t>JE-2026-00140</t>
  </si>
  <si>
    <t>JE-2026-00141</t>
  </si>
  <si>
    <t>JE-2026-00142</t>
  </si>
  <si>
    <t>JE-2026-00143</t>
  </si>
  <si>
    <t>JE-2026-00144</t>
  </si>
  <si>
    <t>JE-2026-00145</t>
  </si>
  <si>
    <t>JE-2026-00146</t>
  </si>
  <si>
    <t>JE-2026-00147</t>
  </si>
  <si>
    <t>JE-2026-00148</t>
  </si>
  <si>
    <t>JE-2026-00149</t>
  </si>
  <si>
    <t>JE-2026-00150</t>
  </si>
  <si>
    <t>JE-2026-00151</t>
  </si>
  <si>
    <t>JE-2026-00152</t>
  </si>
  <si>
    <t>JE-2026-00153</t>
  </si>
  <si>
    <t>JE-2026-00154</t>
  </si>
  <si>
    <t>JE-2026-00155</t>
  </si>
  <si>
    <t>JE-2026-00156</t>
  </si>
  <si>
    <t>JE-2026-00157</t>
  </si>
  <si>
    <t>JE-2026-00158</t>
  </si>
  <si>
    <t>JE-2026-00159</t>
  </si>
  <si>
    <t>JE-2026-00160</t>
  </si>
  <si>
    <t>JE-2026-00161</t>
  </si>
  <si>
    <t>2026-05</t>
  </si>
  <si>
    <t>JE-2026-00162</t>
  </si>
  <si>
    <t>JE-2026-00163</t>
  </si>
  <si>
    <t>JE-2026-00164</t>
  </si>
  <si>
    <t>JE-2026-00165</t>
  </si>
  <si>
    <t>JE-2026-00166</t>
  </si>
  <si>
    <t>JE-2026-00167</t>
  </si>
  <si>
    <t>JE-2026-00168</t>
  </si>
  <si>
    <t>JE-2026-00169</t>
  </si>
  <si>
    <t>JE-2026-00170</t>
  </si>
  <si>
    <t>JE-2026-00171</t>
  </si>
  <si>
    <t>JE-2026-00172</t>
  </si>
  <si>
    <t>JE-2026-00173</t>
  </si>
  <si>
    <t>JE-2026-00174</t>
  </si>
  <si>
    <t>JE-2026-00175</t>
  </si>
  <si>
    <t>JE-2026-00176</t>
  </si>
  <si>
    <t>JE-2026-00177</t>
  </si>
  <si>
    <t>JE-2026-00178</t>
  </si>
  <si>
    <t>JE-2026-00179</t>
  </si>
  <si>
    <t>JE-2026-00180</t>
  </si>
  <si>
    <t>JE-2026-00181</t>
  </si>
  <si>
    <t>JE-2026-00182</t>
  </si>
  <si>
    <t>JE-2026-00183</t>
  </si>
  <si>
    <t>JE-2026-00184</t>
  </si>
  <si>
    <t>JE-2026-00185</t>
  </si>
  <si>
    <t>JE-2026-00186</t>
  </si>
  <si>
    <t>JE-2026-00187</t>
  </si>
  <si>
    <t>JE-2026-00188</t>
  </si>
  <si>
    <t>JE-2026-00189</t>
  </si>
  <si>
    <t>JE-2026-00190</t>
  </si>
  <si>
    <t>JE-2026-00191</t>
  </si>
  <si>
    <t>JE-2026-00192</t>
  </si>
  <si>
    <t>JE-2026-00193</t>
  </si>
  <si>
    <t>JE-2026-00194</t>
  </si>
  <si>
    <t>JE-2026-00195</t>
  </si>
  <si>
    <t>JE-2026-00196</t>
  </si>
  <si>
    <t>JE-2026-00197</t>
  </si>
  <si>
    <t>JE-2026-00198</t>
  </si>
  <si>
    <t>JE-2026-00199</t>
  </si>
  <si>
    <t>JE-2026-00200</t>
  </si>
  <si>
    <t>JE-2026-00201</t>
  </si>
  <si>
    <t>2026-06</t>
  </si>
  <si>
    <t>JE-2026-00202</t>
  </si>
  <si>
    <t>JE-2026-00203</t>
  </si>
  <si>
    <t>JE-2026-00204</t>
  </si>
  <si>
    <t>JE-2026-00205</t>
  </si>
  <si>
    <t>JE-2026-00206</t>
  </si>
  <si>
    <t>JE-2026-00207</t>
  </si>
  <si>
    <t>JE-2026-00208</t>
  </si>
  <si>
    <t>JE-2026-00209</t>
  </si>
  <si>
    <t>JE-2026-00210</t>
  </si>
  <si>
    <t>JE-2026-00211</t>
  </si>
  <si>
    <t>JE-2026-00212</t>
  </si>
  <si>
    <t>JE-2026-00213</t>
  </si>
  <si>
    <t>JE-2026-00214</t>
  </si>
  <si>
    <t>JE-2026-00215</t>
  </si>
  <si>
    <t>JE-2026-00216</t>
  </si>
  <si>
    <t>JE-2026-00217</t>
  </si>
  <si>
    <t>JE-2026-00218</t>
  </si>
  <si>
    <t>JE-2026-00219</t>
  </si>
  <si>
    <t>JE-2026-00220</t>
  </si>
  <si>
    <t>JE-2026-00221</t>
  </si>
  <si>
    <t>JE-2026-00222</t>
  </si>
  <si>
    <t>JE-2026-00223</t>
  </si>
  <si>
    <t>JE-2026-00224</t>
  </si>
  <si>
    <t>JE-2026-00225</t>
  </si>
  <si>
    <t>JE-2026-00226</t>
  </si>
  <si>
    <t>JE-2026-00227</t>
  </si>
  <si>
    <t>JE-2026-00228</t>
  </si>
  <si>
    <t>JE-2026-00229</t>
  </si>
  <si>
    <t>JE-2026-00230</t>
  </si>
  <si>
    <t>JE-2026-00231</t>
  </si>
  <si>
    <t>JE-2026-00232</t>
  </si>
  <si>
    <t>JE-2026-00233</t>
  </si>
  <si>
    <t>JE-2026-00234</t>
  </si>
  <si>
    <t>JE-2026-00235</t>
  </si>
  <si>
    <t>JE-2026-00236</t>
  </si>
  <si>
    <t>JE-2026-00237</t>
  </si>
  <si>
    <t>JE-2026-00238</t>
  </si>
  <si>
    <t>JE-2026-00239</t>
  </si>
  <si>
    <t>JE-2026-00240</t>
  </si>
  <si>
    <t>Control totals — the cleaned data must reconcile to these</t>
  </si>
  <si>
    <t>Control</t>
  </si>
  <si>
    <t>Your value</t>
  </si>
  <si>
    <t>Expected</t>
  </si>
  <si>
    <t>Note</t>
  </si>
  <si>
    <t>Row count</t>
  </si>
  <si>
    <t>No rows may be deleted</t>
  </si>
  <si>
    <t>Duplicate IDs</t>
  </si>
  <si>
    <t>Investigate, never renumber</t>
  </si>
  <si>
    <t>Required-field errors</t>
  </si>
  <si>
    <t>Blank key fields</t>
  </si>
  <si>
    <t>Sign or type errors</t>
  </si>
  <si>
    <t>Should equal the row count</t>
  </si>
  <si>
    <t>Revenue total</t>
  </si>
  <si>
    <t>Accounts 4000-4200</t>
  </si>
  <si>
    <t>Cost total</t>
  </si>
  <si>
    <t>Shown negative</t>
  </si>
  <si>
    <t>Net profit</t>
  </si>
  <si>
    <t>Must equal the control total</t>
  </si>
  <si>
    <t>The same question, before and after cleaning</t>
  </si>
  <si>
    <t>Ask Copilot the same question on the dirty table and the clean one. Record both answers.</t>
  </si>
  <si>
    <t>Question</t>
  </si>
  <si>
    <t>Answer on the dirty table</t>
  </si>
  <si>
    <t>Answer on the clean table</t>
  </si>
  <si>
    <t>Which department had the highest total cost?</t>
  </si>
  <si>
    <t>What is total revenue for the period?</t>
  </si>
  <si>
    <t>Are there any data quality problems I should know about?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</si>
</sst>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$#,##0.00;[Red]-$#,##0.00"/>
  </numFmts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  <xf numFmtId="165" fontId="0" fillId="0" borderId="2" xfId="0" applyNumberForma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91B1B"/>
      </font>
      <fill>
        <patternFill>
          <bgColor rgb="FFFEE2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Data quality checks (expected)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Control check</c:v>
          </c:tx>
          <c:spPr>
            <a:solidFill>
              <a:srgbClr val="10B981"/>
            </a:solidFill>
          </c:spPr>
          <c:cat>
            <c:strRef>
              <c:f>'Quality &amp; Controls'!$A$4:$A$7</c:f>
              <c:strCache>
                <c:ptCount val="4"/>
                <c:pt idx="0">
                  <c:v>Row count</c:v>
                </c:pt>
                <c:pt idx="1">
                  <c:v>Duplicate IDs</c:v>
                </c:pt>
                <c:pt idx="2">
                  <c:v>Required-field errors</c:v>
                </c:pt>
                <c:pt idx="3">
                  <c:v>Sign or type errors</c:v>
                </c:pt>
              </c:strCache>
            </c:strRef>
          </c:cat>
          <c:val>
            <c:numRef>
              <c:f>'Quality &amp; Controls'!$C$4:$C$7</c:f>
              <c:numCache>
                <c:formatCode>General</c:formatCode>
                <c:ptCount val="4"/>
                <c:pt idx="0">
                  <c:v>240</c:v>
                </c:pt>
                <c:pt idx="1">
                  <c:v>0</c:v>
                </c:pt>
                <c:pt idx="2">
                  <c:v>0</c:v>
                </c:pt>
                <c:pt idx="3">
                  <c:v>240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228600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GLTransactions" displayName="GLTransactions" ref="A1:K241" totalsRowShown="0">
  <autoFilter ref="A1:K241"/>
  <tableColumns count="11">
    <tableColumn id="1" name="JournalID"/>
    <tableColumn id="2" name="Period"/>
    <tableColumn id="3" name="PostingDate"/>
    <tableColumn id="4" name="Department"/>
    <tableColumn id="5" name="Region"/>
    <tableColumn id="6" name="AccountCode"/>
    <tableColumn id="7" name="AmountSGD"/>
    <tableColumn id="8" name="Status"/>
    <tableColumn id="9" name="Required check"/>
    <tableColumn id="10" name="Duplicate check"/>
    <tableColumn id="11" name="Sign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54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>
      <c r="A4" s="5" t="s">
        <v>19</v>
      </c>
      <c r="B4" s="5" t="s">
        <v>20</v>
      </c>
      <c r="C4" s="3" t="s">
        <v>21</v>
      </c>
    </row>
    <row r="5" spans="1:3">
      <c r="A5" s="5" t="s">
        <v>22</v>
      </c>
      <c r="B5" s="5" t="s">
        <v>23</v>
      </c>
      <c r="C5" s="3" t="s">
        <v>24</v>
      </c>
    </row>
    <row r="6" spans="1:3">
      <c r="A6" s="5" t="s">
        <v>25</v>
      </c>
      <c r="B6" s="5" t="s">
        <v>26</v>
      </c>
      <c r="C6" s="3" t="s">
        <v>27</v>
      </c>
    </row>
    <row r="7" spans="1:3">
      <c r="A7" s="5" t="s">
        <v>28</v>
      </c>
      <c r="B7" s="5" t="s">
        <v>20</v>
      </c>
      <c r="C7" s="3" t="s">
        <v>29</v>
      </c>
    </row>
    <row r="8" spans="1:3">
      <c r="A8" s="5" t="s">
        <v>30</v>
      </c>
      <c r="B8" s="5" t="s">
        <v>20</v>
      </c>
      <c r="C8" s="3" t="s">
        <v>31</v>
      </c>
    </row>
    <row r="9" spans="1:3">
      <c r="A9" s="5" t="s">
        <v>32</v>
      </c>
      <c r="B9" s="5" t="s">
        <v>20</v>
      </c>
      <c r="C9" s="3" t="s">
        <v>33</v>
      </c>
    </row>
    <row r="10" spans="1:3">
      <c r="A10" s="5" t="s">
        <v>34</v>
      </c>
      <c r="B10" s="5" t="s">
        <v>35</v>
      </c>
      <c r="C10" s="3" t="s">
        <v>36</v>
      </c>
    </row>
    <row r="11" spans="1:3">
      <c r="A11" s="5" t="s">
        <v>37</v>
      </c>
      <c r="B11" s="5" t="s">
        <v>20</v>
      </c>
      <c r="C11" s="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1.7109375" customWidth="1"/>
    <col min="3" max="3" width="13.7109375" customWidth="1"/>
    <col min="4" max="4" width="18.7109375" customWidth="1"/>
    <col min="5" max="5" width="14.7109375" customWidth="1"/>
    <col min="6" max="6" width="13.7109375" customWidth="1"/>
    <col min="7" max="7" width="15.7109375" customWidth="1"/>
    <col min="8" max="8" width="11.7109375" customWidth="1"/>
    <col min="9" max="10" width="14.7109375" customWidth="1"/>
    <col min="11" max="11" width="12.7109375" customWidth="1"/>
  </cols>
  <sheetData>
    <row r="1" spans="1:11" ht="30" customHeight="1">
      <c r="A1" t="s">
        <v>19</v>
      </c>
      <c r="B1" t="s">
        <v>22</v>
      </c>
      <c r="C1" t="s">
        <v>25</v>
      </c>
      <c r="D1" t="s">
        <v>28</v>
      </c>
      <c r="E1" t="s">
        <v>30</v>
      </c>
      <c r="F1" t="s">
        <v>32</v>
      </c>
      <c r="G1" t="s">
        <v>34</v>
      </c>
      <c r="H1" t="s">
        <v>37</v>
      </c>
      <c r="I1" t="s">
        <v>39</v>
      </c>
      <c r="J1" t="s">
        <v>40</v>
      </c>
      <c r="K1" t="s">
        <v>41</v>
      </c>
    </row>
    <row r="2" spans="1:11">
      <c r="A2" s="5" t="s">
        <v>42</v>
      </c>
      <c r="B2" s="5" t="s">
        <v>43</v>
      </c>
      <c r="C2" s="6">
        <v>46053</v>
      </c>
      <c r="D2" s="5" t="s">
        <v>44</v>
      </c>
      <c r="E2" s="5" t="s">
        <v>45</v>
      </c>
      <c r="F2" s="5" t="s">
        <v>46</v>
      </c>
      <c r="G2" s="7">
        <v>778911.86</v>
      </c>
      <c r="H2" s="5" t="s">
        <v>47</v>
      </c>
      <c r="I2" s="5" t="str">
        <f>IF(OR(A2="",B2="",C2="",D2="",F2="",G2=""),"ERROR","OK")</f>
        <v>OK</v>
      </c>
      <c r="J2" s="5" t="str">
        <f>IF(COUNTIF($A$2:$A$241,A2)&gt;1,"DUPLICATE","OK")</f>
        <v>OK</v>
      </c>
      <c r="K2" s="5" t="str">
        <f>IF(NOT(ISNUMBER(G2)),"NOT NUMBER",IF(OR(AND(LEFT(F2,1)="4",G2&gt;=0),AND(LEFT(F2,1)&lt;&gt;"4",G2&lt;=0)),"OK","CHECK"))</f>
        <v>OK</v>
      </c>
    </row>
    <row r="3" spans="1:11">
      <c r="A3" s="5" t="s">
        <v>48</v>
      </c>
      <c r="B3" s="5" t="s">
        <v>43</v>
      </c>
      <c r="C3" s="6">
        <v>46053</v>
      </c>
      <c r="D3" s="5" t="s">
        <v>44</v>
      </c>
      <c r="E3" s="5" t="s">
        <v>45</v>
      </c>
      <c r="F3" s="5" t="s">
        <v>49</v>
      </c>
      <c r="G3" s="7">
        <v>385865.95</v>
      </c>
      <c r="H3" s="5" t="s">
        <v>47</v>
      </c>
      <c r="I3" s="5" t="str">
        <f>IF(OR(A3="",B3="",C3="",D3="",F3="",G3=""),"ERROR","OK")</f>
        <v>OK</v>
      </c>
      <c r="J3" s="5" t="str">
        <f>IF(COUNTIF($A$2:$A$241,A3)&gt;1,"DUPLICATE","OK")</f>
        <v>OK</v>
      </c>
      <c r="K3" s="5" t="str">
        <f>IF(NOT(ISNUMBER(G3)),"NOT NUMBER",IF(OR(AND(LEFT(F3,1)="4",G3&gt;=0),AND(LEFT(F3,1)&lt;&gt;"4",G3&lt;=0)),"OK","CHECK"))</f>
        <v>OK</v>
      </c>
    </row>
    <row r="4" spans="1:11">
      <c r="A4" s="5" t="s">
        <v>50</v>
      </c>
      <c r="B4" s="5" t="s">
        <v>43</v>
      </c>
      <c r="C4" s="6">
        <v>46053</v>
      </c>
      <c r="D4" s="5" t="s">
        <v>44</v>
      </c>
      <c r="E4" s="5" t="s">
        <v>45</v>
      </c>
      <c r="F4" s="5" t="s">
        <v>51</v>
      </c>
      <c r="G4" s="7">
        <v>245586.72</v>
      </c>
      <c r="H4" s="5" t="s">
        <v>47</v>
      </c>
      <c r="I4" s="5" t="str">
        <f>IF(OR(A4="",B4="",C4="",D4="",F4="",G4=""),"ERROR","OK")</f>
        <v>OK</v>
      </c>
      <c r="J4" s="5" t="str">
        <f>IF(COUNTIF($A$2:$A$241,A4)&gt;1,"DUPLICATE","OK")</f>
        <v>OK</v>
      </c>
      <c r="K4" s="5" t="str">
        <f>IF(NOT(ISNUMBER(G4)),"NOT NUMBER",IF(OR(AND(LEFT(F4,1)="4",G4&gt;=0),AND(LEFT(F4,1)&lt;&gt;"4",G4&lt;=0)),"OK","CHECK"))</f>
        <v>OK</v>
      </c>
    </row>
    <row r="5" spans="1:11">
      <c r="A5" s="5" t="s">
        <v>52</v>
      </c>
      <c r="B5" s="5" t="s">
        <v>43</v>
      </c>
      <c r="C5" s="6">
        <v>46053</v>
      </c>
      <c r="D5" s="5" t="s">
        <v>44</v>
      </c>
      <c r="E5" s="5" t="s">
        <v>45</v>
      </c>
      <c r="F5" s="5" t="s">
        <v>53</v>
      </c>
      <c r="G5" s="7">
        <v>-402281.27</v>
      </c>
      <c r="H5" s="5" t="s">
        <v>47</v>
      </c>
      <c r="I5" s="5" t="str">
        <f>IF(OR(A5="",B5="",C5="",D5="",F5="",G5=""),"ERROR","OK")</f>
        <v>OK</v>
      </c>
      <c r="J5" s="5" t="str">
        <f>IF(COUNTIF($A$2:$A$241,A5)&gt;1,"DUPLICATE","OK")</f>
        <v>OK</v>
      </c>
      <c r="K5" s="5" t="str">
        <f>IF(NOT(ISNUMBER(G5)),"NOT NUMBER",IF(OR(AND(LEFT(F5,1)="4",G5&gt;=0),AND(LEFT(F5,1)&lt;&gt;"4",G5&lt;=0)),"OK","CHECK"))</f>
        <v>OK</v>
      </c>
    </row>
    <row r="6" spans="1:11">
      <c r="A6" s="5" t="s">
        <v>54</v>
      </c>
      <c r="B6" s="5" t="s">
        <v>43</v>
      </c>
      <c r="C6" s="6">
        <v>46053</v>
      </c>
      <c r="D6" s="5" t="s">
        <v>44</v>
      </c>
      <c r="E6" s="5" t="s">
        <v>45</v>
      </c>
      <c r="F6" s="5" t="s">
        <v>55</v>
      </c>
      <c r="G6" s="7">
        <v>-121835.14</v>
      </c>
      <c r="H6" s="5" t="s">
        <v>47</v>
      </c>
      <c r="I6" s="5" t="str">
        <f>IF(OR(A6="",B6="",C6="",D6="",F6="",G6=""),"ERROR","OK")</f>
        <v>OK</v>
      </c>
      <c r="J6" s="5" t="str">
        <f>IF(COUNTIF($A$2:$A$241,A6)&gt;1,"DUPLICATE","OK")</f>
        <v>OK</v>
      </c>
      <c r="K6" s="5" t="str">
        <f>IF(NOT(ISNUMBER(G6)),"NOT NUMBER",IF(OR(AND(LEFT(F6,1)="4",G6&gt;=0),AND(LEFT(F6,1)&lt;&gt;"4",G6&lt;=0)),"OK","CHECK"))</f>
        <v>OK</v>
      </c>
    </row>
    <row r="7" spans="1:11">
      <c r="A7" s="5" t="s">
        <v>56</v>
      </c>
      <c r="B7" s="5" t="s">
        <v>43</v>
      </c>
      <c r="C7" s="6">
        <v>46053</v>
      </c>
      <c r="D7" s="5" t="s">
        <v>44</v>
      </c>
      <c r="E7" s="5" t="s">
        <v>45</v>
      </c>
      <c r="F7" s="5" t="s">
        <v>57</v>
      </c>
      <c r="G7" s="7">
        <v>-159661.89</v>
      </c>
      <c r="H7" s="5" t="s">
        <v>47</v>
      </c>
      <c r="I7" s="5" t="str">
        <f>IF(OR(A7="",B7="",C7="",D7="",F7="",G7=""),"ERROR","OK")</f>
        <v>OK</v>
      </c>
      <c r="J7" s="5" t="str">
        <f>IF(COUNTIF($A$2:$A$241,A7)&gt;1,"DUPLICATE","OK")</f>
        <v>OK</v>
      </c>
      <c r="K7" s="5" t="str">
        <f>IF(NOT(ISNUMBER(G7)),"NOT NUMBER",IF(OR(AND(LEFT(F7,1)="4",G7&gt;=0),AND(LEFT(F7,1)&lt;&gt;"4",G7&lt;=0)),"OK","CHECK"))</f>
        <v>OK</v>
      </c>
    </row>
    <row r="8" spans="1:11">
      <c r="A8" s="5" t="s">
        <v>58</v>
      </c>
      <c r="B8" s="5" t="s">
        <v>43</v>
      </c>
      <c r="C8" s="6">
        <v>46053</v>
      </c>
      <c r="D8" s="5" t="s">
        <v>44</v>
      </c>
      <c r="E8" s="5" t="s">
        <v>45</v>
      </c>
      <c r="F8" s="5" t="s">
        <v>59</v>
      </c>
      <c r="G8" s="7">
        <v>-353470.13</v>
      </c>
      <c r="H8" s="5" t="s">
        <v>47</v>
      </c>
      <c r="I8" s="5" t="str">
        <f>IF(OR(A8="",B8="",C8="",D8="",F8="",G8=""),"ERROR","OK")</f>
        <v>OK</v>
      </c>
      <c r="J8" s="5" t="str">
        <f>IF(COUNTIF($A$2:$A$241,A8)&gt;1,"DUPLICATE","OK")</f>
        <v>OK</v>
      </c>
      <c r="K8" s="5" t="str">
        <f>IF(NOT(ISNUMBER(G8)),"NOT NUMBER",IF(OR(AND(LEFT(F8,1)="4",G8&gt;=0),AND(LEFT(F8,1)&lt;&gt;"4",G8&lt;=0)),"OK","CHECK"))</f>
        <v>OK</v>
      </c>
    </row>
    <row r="9" spans="1:11">
      <c r="A9" s="5" t="s">
        <v>60</v>
      </c>
      <c r="B9" s="5" t="s">
        <v>43</v>
      </c>
      <c r="C9" s="6">
        <v>46053</v>
      </c>
      <c r="D9" s="5" t="s">
        <v>44</v>
      </c>
      <c r="E9" s="5" t="s">
        <v>45</v>
      </c>
      <c r="F9" s="5" t="s">
        <v>61</v>
      </c>
      <c r="G9" s="7">
        <v>-76164.73</v>
      </c>
      <c r="H9" s="5" t="s">
        <v>47</v>
      </c>
      <c r="I9" s="5" t="str">
        <f>IF(OR(A9="",B9="",C9="",D9="",F9="",G9=""),"ERROR","OK")</f>
        <v>OK</v>
      </c>
      <c r="J9" s="5" t="str">
        <f>IF(COUNTIF($A$2:$A$241,A9)&gt;1,"DUPLICATE","OK")</f>
        <v>OK</v>
      </c>
      <c r="K9" s="5" t="str">
        <f>IF(NOT(ISNUMBER(G9)),"NOT NUMBER",IF(OR(AND(LEFT(F9,1)="4",G9&gt;=0),AND(LEFT(F9,1)&lt;&gt;"4",G9&lt;=0)),"OK","CHECK"))</f>
        <v>OK</v>
      </c>
    </row>
    <row r="10" spans="1:11">
      <c r="A10" s="5" t="s">
        <v>62</v>
      </c>
      <c r="B10" s="5" t="s">
        <v>43</v>
      </c>
      <c r="C10" s="6">
        <v>46053</v>
      </c>
      <c r="D10" s="5" t="s">
        <v>44</v>
      </c>
      <c r="E10" s="5" t="s">
        <v>45</v>
      </c>
      <c r="F10" s="5" t="s">
        <v>63</v>
      </c>
      <c r="G10" s="7">
        <v>-55596.5</v>
      </c>
      <c r="H10" s="5" t="s">
        <v>47</v>
      </c>
      <c r="I10" s="5" t="str">
        <f>IF(OR(A10="",B10="",C10="",D10="",F10="",G10=""),"ERROR","OK")</f>
        <v>OK</v>
      </c>
      <c r="J10" s="5" t="str">
        <f>IF(COUNTIF($A$2:$A$241,A10)&gt;1,"DUPLICATE","OK")</f>
        <v>OK</v>
      </c>
      <c r="K10" s="5" t="str">
        <f>IF(NOT(ISNUMBER(G10)),"NOT NUMBER",IF(OR(AND(LEFT(F10,1)="4",G10&gt;=0),AND(LEFT(F10,1)&lt;&gt;"4",G10&lt;=0)),"OK","CHECK"))</f>
        <v>OK</v>
      </c>
    </row>
    <row r="11" spans="1:11">
      <c r="A11" s="5" t="s">
        <v>64</v>
      </c>
      <c r="B11" s="5" t="s">
        <v>43</v>
      </c>
      <c r="C11" s="6">
        <v>46053</v>
      </c>
      <c r="D11" s="5" t="s">
        <v>44</v>
      </c>
      <c r="E11" s="5" t="s">
        <v>45</v>
      </c>
      <c r="F11" s="5" t="s">
        <v>65</v>
      </c>
      <c r="G11" s="7">
        <v>-43241.89</v>
      </c>
      <c r="H11" s="5" t="s">
        <v>47</v>
      </c>
      <c r="I11" s="5" t="str">
        <f>IF(OR(A11="",B11="",C11="",D11="",F11="",G11=""),"ERROR","OK")</f>
        <v>OK</v>
      </c>
      <c r="J11" s="5" t="str">
        <f>IF(COUNTIF($A$2:$A$241,A11)&gt;1,"DUPLICATE","OK")</f>
        <v>OK</v>
      </c>
      <c r="K11" s="5" t="str">
        <f>IF(NOT(ISNUMBER(G11)),"NOT NUMBER",IF(OR(AND(LEFT(F11,1)="4",G11&gt;=0),AND(LEFT(F11,1)&lt;&gt;"4",G11&lt;=0)),"OK","CHECK"))</f>
        <v>OK</v>
      </c>
    </row>
    <row r="12" spans="1:11">
      <c r="A12" s="5" t="s">
        <v>66</v>
      </c>
      <c r="B12" s="5" t="s">
        <v>43</v>
      </c>
      <c r="C12" s="6">
        <v>46053</v>
      </c>
      <c r="D12" s="5" t="s">
        <v>67</v>
      </c>
      <c r="E12" s="5" t="s">
        <v>68</v>
      </c>
      <c r="F12" s="5" t="s">
        <v>46</v>
      </c>
      <c r="G12" s="7">
        <v>581577.74</v>
      </c>
      <c r="H12" s="5" t="s">
        <v>47</v>
      </c>
      <c r="I12" s="5" t="str">
        <f>IF(OR(A12="",B12="",C12="",D12="",F12="",G12=""),"ERROR","OK")</f>
        <v>OK</v>
      </c>
      <c r="J12" s="5" t="str">
        <f>IF(COUNTIF($A$2:$A$241,A12)&gt;1,"DUPLICATE","OK")</f>
        <v>OK</v>
      </c>
      <c r="K12" s="5" t="str">
        <f>IF(NOT(ISNUMBER(G12)),"NOT NUMBER",IF(OR(AND(LEFT(F12,1)="4",G12&gt;=0),AND(LEFT(F12,1)&lt;&gt;"4",G12&lt;=0)),"OK","CHECK"))</f>
        <v>OK</v>
      </c>
    </row>
    <row r="13" spans="1:11">
      <c r="A13" s="5" t="s">
        <v>69</v>
      </c>
      <c r="B13" s="5" t="s">
        <v>43</v>
      </c>
      <c r="C13" s="6">
        <v>46053</v>
      </c>
      <c r="D13" s="5" t="s">
        <v>67</v>
      </c>
      <c r="E13" s="5" t="s">
        <v>68</v>
      </c>
      <c r="F13" s="5" t="s">
        <v>49</v>
      </c>
      <c r="G13" s="7">
        <v>295598.3</v>
      </c>
      <c r="H13" s="5" t="s">
        <v>47</v>
      </c>
      <c r="I13" s="5" t="str">
        <f>IF(OR(A13="",B13="",C13="",D13="",F13="",G13=""),"ERROR","OK")</f>
        <v>OK</v>
      </c>
      <c r="J13" s="5" t="str">
        <f>IF(COUNTIF($A$2:$A$241,A13)&gt;1,"DUPLICATE","OK")</f>
        <v>OK</v>
      </c>
      <c r="K13" s="5" t="str">
        <f>IF(NOT(ISNUMBER(G13)),"NOT NUMBER",IF(OR(AND(LEFT(F13,1)="4",G13&gt;=0),AND(LEFT(F13,1)&lt;&gt;"4",G13&lt;=0)),"OK","CHECK"))</f>
        <v>OK</v>
      </c>
    </row>
    <row r="14" spans="1:11">
      <c r="A14" s="5" t="s">
        <v>70</v>
      </c>
      <c r="B14" s="5" t="s">
        <v>43</v>
      </c>
      <c r="C14" s="6">
        <v>46053</v>
      </c>
      <c r="D14" s="5" t="s">
        <v>67</v>
      </c>
      <c r="E14" s="5" t="s">
        <v>68</v>
      </c>
      <c r="F14" s="5" t="s">
        <v>51</v>
      </c>
      <c r="G14" s="7">
        <v>178856.38</v>
      </c>
      <c r="H14" s="5" t="s">
        <v>47</v>
      </c>
      <c r="I14" s="5" t="str">
        <f>IF(OR(A14="",B14="",C14="",D14="",F14="",G14=""),"ERROR","OK")</f>
        <v>OK</v>
      </c>
      <c r="J14" s="5" t="str">
        <f>IF(COUNTIF($A$2:$A$241,A14)&gt;1,"DUPLICATE","OK")</f>
        <v>OK</v>
      </c>
      <c r="K14" s="5" t="str">
        <f>IF(NOT(ISNUMBER(G14)),"NOT NUMBER",IF(OR(AND(LEFT(F14,1)="4",G14&gt;=0),AND(LEFT(F14,1)&lt;&gt;"4",G14&lt;=0)),"OK","CHECK"))</f>
        <v>OK</v>
      </c>
    </row>
    <row r="15" spans="1:11">
      <c r="A15" s="5" t="s">
        <v>71</v>
      </c>
      <c r="B15" s="5" t="s">
        <v>43</v>
      </c>
      <c r="C15" s="6">
        <v>46053</v>
      </c>
      <c r="D15" s="5" t="s">
        <v>67</v>
      </c>
      <c r="E15" s="5" t="s">
        <v>68</v>
      </c>
      <c r="F15" s="5" t="s">
        <v>53</v>
      </c>
      <c r="G15" s="7">
        <v>-283986.23</v>
      </c>
      <c r="H15" s="5" t="s">
        <v>47</v>
      </c>
      <c r="I15" s="5" t="str">
        <f>IF(OR(A15="",B15="",C15="",D15="",F15="",G15=""),"ERROR","OK")</f>
        <v>OK</v>
      </c>
      <c r="J15" s="5" t="str">
        <f>IF(COUNTIF($A$2:$A$241,A15)&gt;1,"DUPLICATE","OK")</f>
        <v>OK</v>
      </c>
      <c r="K15" s="5" t="str">
        <f>IF(NOT(ISNUMBER(G15)),"NOT NUMBER",IF(OR(AND(LEFT(F15,1)="4",G15&gt;=0),AND(LEFT(F15,1)&lt;&gt;"4",G15&lt;=0)),"OK","CHECK"))</f>
        <v>OK</v>
      </c>
    </row>
    <row r="16" spans="1:11">
      <c r="A16" s="5" t="s">
        <v>72</v>
      </c>
      <c r="B16" s="5" t="s">
        <v>43</v>
      </c>
      <c r="C16" s="6">
        <v>46053</v>
      </c>
      <c r="D16" s="5" t="s">
        <v>67</v>
      </c>
      <c r="E16" s="5" t="s">
        <v>68</v>
      </c>
      <c r="F16" s="5" t="s">
        <v>55</v>
      </c>
      <c r="G16" s="7">
        <v>-88180.42</v>
      </c>
      <c r="H16" s="5" t="s">
        <v>47</v>
      </c>
      <c r="I16" s="5" t="str">
        <f>IF(OR(A16="",B16="",C16="",D16="",F16="",G16=""),"ERROR","OK")</f>
        <v>OK</v>
      </c>
      <c r="J16" s="5" t="str">
        <f>IF(COUNTIF($A$2:$A$241,A16)&gt;1,"DUPLICATE","OK")</f>
        <v>OK</v>
      </c>
      <c r="K16" s="5" t="str">
        <f>IF(NOT(ISNUMBER(G16)),"NOT NUMBER",IF(OR(AND(LEFT(F16,1)="4",G16&gt;=0),AND(LEFT(F16,1)&lt;&gt;"4",G16&lt;=0)),"OK","CHECK"))</f>
        <v>OK</v>
      </c>
    </row>
    <row r="17" spans="1:11">
      <c r="A17" s="5" t="s">
        <v>73</v>
      </c>
      <c r="B17" s="5" t="s">
        <v>43</v>
      </c>
      <c r="C17" s="6">
        <v>46053</v>
      </c>
      <c r="D17" s="5" t="s">
        <v>67</v>
      </c>
      <c r="E17" s="5" t="s">
        <v>68</v>
      </c>
      <c r="F17" s="5" t="s">
        <v>57</v>
      </c>
      <c r="G17" s="7">
        <v>-112968.36</v>
      </c>
      <c r="H17" s="5" t="s">
        <v>47</v>
      </c>
      <c r="I17" s="5" t="str">
        <f>IF(OR(A17="",B17="",C17="",D17="",F17="",G17=""),"ERROR","OK")</f>
        <v>OK</v>
      </c>
      <c r="J17" s="5" t="str">
        <f>IF(COUNTIF($A$2:$A$241,A17)&gt;1,"DUPLICATE","OK")</f>
        <v>OK</v>
      </c>
      <c r="K17" s="5" t="str">
        <f>IF(NOT(ISNUMBER(G17)),"NOT NUMBER",IF(OR(AND(LEFT(F17,1)="4",G17&gt;=0),AND(LEFT(F17,1)&lt;&gt;"4",G17&lt;=0)),"OK","CHECK"))</f>
        <v>OK</v>
      </c>
    </row>
    <row r="18" spans="1:11">
      <c r="A18" s="5" t="s">
        <v>74</v>
      </c>
      <c r="B18" s="5" t="s">
        <v>43</v>
      </c>
      <c r="C18" s="6">
        <v>46053</v>
      </c>
      <c r="D18" s="5" t="s">
        <v>67</v>
      </c>
      <c r="E18" s="5" t="s">
        <v>68</v>
      </c>
      <c r="F18" s="5" t="s">
        <v>59</v>
      </c>
      <c r="G18" s="7">
        <v>-255131.37</v>
      </c>
      <c r="H18" s="5" t="s">
        <v>47</v>
      </c>
      <c r="I18" s="5" t="str">
        <f>IF(OR(A18="",B18="",C18="",D18="",F18="",G18=""),"ERROR","OK")</f>
        <v>OK</v>
      </c>
      <c r="J18" s="5" t="str">
        <f>IF(COUNTIF($A$2:$A$241,A18)&gt;1,"DUPLICATE","OK")</f>
        <v>OK</v>
      </c>
      <c r="K18" s="5" t="str">
        <f>IF(NOT(ISNUMBER(G18)),"NOT NUMBER",IF(OR(AND(LEFT(F18,1)="4",G18&gt;=0),AND(LEFT(F18,1)&lt;&gt;"4",G18&lt;=0)),"OK","CHECK"))</f>
        <v>OK</v>
      </c>
    </row>
    <row r="19" spans="1:11">
      <c r="A19" s="5" t="s">
        <v>75</v>
      </c>
      <c r="B19" s="5" t="s">
        <v>43</v>
      </c>
      <c r="C19" s="6">
        <v>46053</v>
      </c>
      <c r="D19" s="5" t="s">
        <v>67</v>
      </c>
      <c r="E19" s="5" t="s">
        <v>68</v>
      </c>
      <c r="F19" s="5" t="s">
        <v>61</v>
      </c>
      <c r="G19" s="7">
        <v>-54896.83</v>
      </c>
      <c r="H19" s="5" t="s">
        <v>47</v>
      </c>
      <c r="I19" s="5" t="str">
        <f>IF(OR(A19="",B19="",C19="",D19="",F19="",G19=""),"ERROR","OK")</f>
        <v>OK</v>
      </c>
      <c r="J19" s="5" t="str">
        <f>IF(COUNTIF($A$2:$A$241,A19)&gt;1,"DUPLICATE","OK")</f>
        <v>OK</v>
      </c>
      <c r="K19" s="5" t="str">
        <f>IF(NOT(ISNUMBER(G19)),"NOT NUMBER",IF(OR(AND(LEFT(F19,1)="4",G19&gt;=0),AND(LEFT(F19,1)&lt;&gt;"4",G19&lt;=0)),"OK","CHECK"))</f>
        <v>OK</v>
      </c>
    </row>
    <row r="20" spans="1:11">
      <c r="A20" s="5" t="s">
        <v>76</v>
      </c>
      <c r="B20" s="5" t="s">
        <v>43</v>
      </c>
      <c r="C20" s="6">
        <v>46053</v>
      </c>
      <c r="D20" s="5" t="s">
        <v>67</v>
      </c>
      <c r="E20" s="5" t="s">
        <v>68</v>
      </c>
      <c r="F20" s="5" t="s">
        <v>63</v>
      </c>
      <c r="G20" s="7">
        <v>-39759.49</v>
      </c>
      <c r="H20" s="5" t="s">
        <v>47</v>
      </c>
      <c r="I20" s="5" t="str">
        <f>IF(OR(A20="",B20="",C20="",D20="",F20="",G20=""),"ERROR","OK")</f>
        <v>OK</v>
      </c>
      <c r="J20" s="5" t="str">
        <f>IF(COUNTIF($A$2:$A$241,A20)&gt;1,"DUPLICATE","OK")</f>
        <v>OK</v>
      </c>
      <c r="K20" s="5" t="str">
        <f>IF(NOT(ISNUMBER(G20)),"NOT NUMBER",IF(OR(AND(LEFT(F20,1)="4",G20&gt;=0),AND(LEFT(F20,1)&lt;&gt;"4",G20&lt;=0)),"OK","CHECK"))</f>
        <v>OK</v>
      </c>
    </row>
    <row r="21" spans="1:11">
      <c r="A21" s="5" t="s">
        <v>77</v>
      </c>
      <c r="B21" s="5" t="s">
        <v>43</v>
      </c>
      <c r="C21" s="6">
        <v>46053</v>
      </c>
      <c r="D21" s="5" t="s">
        <v>67</v>
      </c>
      <c r="E21" s="5" t="s">
        <v>68</v>
      </c>
      <c r="F21" s="5" t="s">
        <v>65</v>
      </c>
      <c r="G21" s="7">
        <v>-32385.02</v>
      </c>
      <c r="H21" s="5" t="s">
        <v>47</v>
      </c>
      <c r="I21" s="5" t="str">
        <f>IF(OR(A21="",B21="",C21="",D21="",F21="",G21=""),"ERROR","OK")</f>
        <v>OK</v>
      </c>
      <c r="J21" s="5" t="str">
        <f>IF(COUNTIF($A$2:$A$241,A21)&gt;1,"DUPLICATE","OK")</f>
        <v>OK</v>
      </c>
      <c r="K21" s="5" t="str">
        <f>IF(NOT(ISNUMBER(G21)),"NOT NUMBER",IF(OR(AND(LEFT(F21,1)="4",G21&gt;=0),AND(LEFT(F21,1)&lt;&gt;"4",G21&lt;=0)),"OK","CHECK"))</f>
        <v>OK</v>
      </c>
    </row>
    <row r="22" spans="1:11">
      <c r="A22" s="5" t="s">
        <v>78</v>
      </c>
      <c r="B22" s="5" t="s">
        <v>43</v>
      </c>
      <c r="C22" s="6">
        <v>46053</v>
      </c>
      <c r="D22" s="5" t="s">
        <v>79</v>
      </c>
      <c r="E22" s="5" t="s">
        <v>45</v>
      </c>
      <c r="F22" s="5" t="s">
        <v>46</v>
      </c>
      <c r="G22" s="7">
        <v>906737.36</v>
      </c>
      <c r="H22" s="5" t="s">
        <v>47</v>
      </c>
      <c r="I22" s="5" t="str">
        <f>IF(OR(A22="",B22="",C22="",D22="",F22="",G22=""),"ERROR","OK")</f>
        <v>OK</v>
      </c>
      <c r="J22" s="5" t="str">
        <f>IF(COUNTIF($A$2:$A$241,A22)&gt;1,"DUPLICATE","OK")</f>
        <v>OK</v>
      </c>
      <c r="K22" s="5" t="str">
        <f>IF(NOT(ISNUMBER(G22)),"NOT NUMBER",IF(OR(AND(LEFT(F22,1)="4",G22&gt;=0),AND(LEFT(F22,1)&lt;&gt;"4",G22&lt;=0)),"OK","CHECK"))</f>
        <v>OK</v>
      </c>
    </row>
    <row r="23" spans="1:11">
      <c r="A23" s="5" t="s">
        <v>80</v>
      </c>
      <c r="B23" s="5" t="s">
        <v>43</v>
      </c>
      <c r="C23" s="6">
        <v>46053</v>
      </c>
      <c r="D23" s="5" t="s">
        <v>79</v>
      </c>
      <c r="E23" s="5" t="s">
        <v>45</v>
      </c>
      <c r="F23" s="5" t="s">
        <v>49</v>
      </c>
      <c r="G23" s="7">
        <v>469083.76</v>
      </c>
      <c r="H23" s="5" t="s">
        <v>47</v>
      </c>
      <c r="I23" s="5" t="str">
        <f>IF(OR(A23="",B23="",C23="",D23="",F23="",G23=""),"ERROR","OK")</f>
        <v>OK</v>
      </c>
      <c r="J23" s="5" t="str">
        <f>IF(COUNTIF($A$2:$A$241,A23)&gt;1,"DUPLICATE","OK")</f>
        <v>OK</v>
      </c>
      <c r="K23" s="5" t="str">
        <f>IF(NOT(ISNUMBER(G23)),"NOT NUMBER",IF(OR(AND(LEFT(F23,1)="4",G23&gt;=0),AND(LEFT(F23,1)&lt;&gt;"4",G23&lt;=0)),"OK","CHECK"))</f>
        <v>OK</v>
      </c>
    </row>
    <row r="24" spans="1:11">
      <c r="A24" s="5" t="s">
        <v>81</v>
      </c>
      <c r="B24" s="5" t="s">
        <v>43</v>
      </c>
      <c r="C24" s="6">
        <v>46053</v>
      </c>
      <c r="D24" s="5" t="s">
        <v>79</v>
      </c>
      <c r="E24" s="5" t="s">
        <v>45</v>
      </c>
      <c r="F24" s="5" t="s">
        <v>51</v>
      </c>
      <c r="G24" s="7">
        <v>279197.34</v>
      </c>
      <c r="H24" s="5" t="s">
        <v>47</v>
      </c>
      <c r="I24" s="5" t="str">
        <f>IF(OR(A24="",B24="",C24="",D24="",F24="",G24=""),"ERROR","OK")</f>
        <v>OK</v>
      </c>
      <c r="J24" s="5" t="str">
        <f>IF(COUNTIF($A$2:$A$241,A24)&gt;1,"DUPLICATE","OK")</f>
        <v>OK</v>
      </c>
      <c r="K24" s="5" t="str">
        <f>IF(NOT(ISNUMBER(G24)),"NOT NUMBER",IF(OR(AND(LEFT(F24,1)="4",G24&gt;=0),AND(LEFT(F24,1)&lt;&gt;"4",G24&lt;=0)),"OK","CHECK"))</f>
        <v>OK</v>
      </c>
    </row>
    <row r="25" spans="1:11">
      <c r="A25" s="5" t="s">
        <v>82</v>
      </c>
      <c r="B25" s="5" t="s">
        <v>43</v>
      </c>
      <c r="C25" s="6">
        <v>46053</v>
      </c>
      <c r="D25" s="5" t="s">
        <v>79</v>
      </c>
      <c r="E25" s="5" t="s">
        <v>45</v>
      </c>
      <c r="F25" s="5" t="s">
        <v>53</v>
      </c>
      <c r="G25" s="7">
        <v>-468708.17</v>
      </c>
      <c r="H25" s="5" t="s">
        <v>47</v>
      </c>
      <c r="I25" s="5" t="str">
        <f>IF(OR(A25="",B25="",C25="",D25="",F25="",G25=""),"ERROR","OK")</f>
        <v>OK</v>
      </c>
      <c r="J25" s="5" t="str">
        <f>IF(COUNTIF($A$2:$A$241,A25)&gt;1,"DUPLICATE","OK")</f>
        <v>OK</v>
      </c>
      <c r="K25" s="5" t="str">
        <f>IF(NOT(ISNUMBER(G25)),"NOT NUMBER",IF(OR(AND(LEFT(F25,1)="4",G25&gt;=0),AND(LEFT(F25,1)&lt;&gt;"4",G25&lt;=0)),"OK","CHECK"))</f>
        <v>OK</v>
      </c>
    </row>
    <row r="26" spans="1:11">
      <c r="A26" s="5" t="s">
        <v>83</v>
      </c>
      <c r="B26" s="5" t="s">
        <v>43</v>
      </c>
      <c r="C26" s="6">
        <v>46053</v>
      </c>
      <c r="D26" s="5" t="s">
        <v>79</v>
      </c>
      <c r="E26" s="5" t="s">
        <v>45</v>
      </c>
      <c r="F26" s="5" t="s">
        <v>55</v>
      </c>
      <c r="G26" s="7">
        <v>-143460.83</v>
      </c>
      <c r="H26" s="5" t="s">
        <v>47</v>
      </c>
      <c r="I26" s="5" t="str">
        <f>IF(OR(A26="",B26="",C26="",D26="",F26="",G26=""),"ERROR","OK")</f>
        <v>OK</v>
      </c>
      <c r="J26" s="5" t="str">
        <f>IF(COUNTIF($A$2:$A$241,A26)&gt;1,"DUPLICATE","OK")</f>
        <v>OK</v>
      </c>
      <c r="K26" s="5" t="str">
        <f>IF(NOT(ISNUMBER(G26)),"NOT NUMBER",IF(OR(AND(LEFT(F26,1)="4",G26&gt;=0),AND(LEFT(F26,1)&lt;&gt;"4",G26&lt;=0)),"OK","CHECK"))</f>
        <v>OK</v>
      </c>
    </row>
    <row r="27" spans="1:11">
      <c r="A27" s="5" t="s">
        <v>84</v>
      </c>
      <c r="B27" s="5" t="s">
        <v>43</v>
      </c>
      <c r="C27" s="6">
        <v>46053</v>
      </c>
      <c r="D27" s="5" t="s">
        <v>79</v>
      </c>
      <c r="E27" s="5" t="s">
        <v>45</v>
      </c>
      <c r="F27" s="5" t="s">
        <v>57</v>
      </c>
      <c r="G27" s="7">
        <v>-177810.17</v>
      </c>
      <c r="H27" s="5" t="s">
        <v>47</v>
      </c>
      <c r="I27" s="5" t="str">
        <f>IF(OR(A27="",B27="",C27="",D27="",F27="",G27=""),"ERROR","OK")</f>
        <v>OK</v>
      </c>
      <c r="J27" s="5" t="str">
        <f>IF(COUNTIF($A$2:$A$241,A27)&gt;1,"DUPLICATE","OK")</f>
        <v>OK</v>
      </c>
      <c r="K27" s="5" t="str">
        <f>IF(NOT(ISNUMBER(G27)),"NOT NUMBER",IF(OR(AND(LEFT(F27,1)="4",G27&gt;=0),AND(LEFT(F27,1)&lt;&gt;"4",G27&lt;=0)),"OK","CHECK"))</f>
        <v>OK</v>
      </c>
    </row>
    <row r="28" spans="1:11">
      <c r="A28" s="5" t="s">
        <v>85</v>
      </c>
      <c r="B28" s="5" t="s">
        <v>43</v>
      </c>
      <c r="C28" s="6">
        <v>46053</v>
      </c>
      <c r="D28" s="5" t="s">
        <v>79</v>
      </c>
      <c r="E28" s="5" t="s">
        <v>45</v>
      </c>
      <c r="F28" s="5" t="s">
        <v>59</v>
      </c>
      <c r="G28" s="7">
        <v>-385743.74</v>
      </c>
      <c r="H28" s="5" t="s">
        <v>47</v>
      </c>
      <c r="I28" s="5" t="str">
        <f>IF(OR(A28="",B28="",C28="",D28="",F28="",G28=""),"ERROR","OK")</f>
        <v>OK</v>
      </c>
      <c r="J28" s="5" t="str">
        <f>IF(COUNTIF($A$2:$A$241,A28)&gt;1,"DUPLICATE","OK")</f>
        <v>OK</v>
      </c>
      <c r="K28" s="5" t="str">
        <f>IF(NOT(ISNUMBER(G28)),"NOT NUMBER",IF(OR(AND(LEFT(F28,1)="4",G28&gt;=0),AND(LEFT(F28,1)&lt;&gt;"4",G28&lt;=0)),"OK","CHECK"))</f>
        <v>OK</v>
      </c>
    </row>
    <row r="29" spans="1:11">
      <c r="A29" s="5" t="s">
        <v>86</v>
      </c>
      <c r="B29" s="5" t="s">
        <v>43</v>
      </c>
      <c r="C29" s="6">
        <v>46053</v>
      </c>
      <c r="D29" s="5" t="s">
        <v>79</v>
      </c>
      <c r="E29" s="5" t="s">
        <v>45</v>
      </c>
      <c r="F29" s="5" t="s">
        <v>61</v>
      </c>
      <c r="G29" s="7">
        <v>-82011.03999999999</v>
      </c>
      <c r="H29" s="5" t="s">
        <v>47</v>
      </c>
      <c r="I29" s="5" t="str">
        <f>IF(OR(A29="",B29="",C29="",D29="",F29="",G29=""),"ERROR","OK")</f>
        <v>OK</v>
      </c>
      <c r="J29" s="5" t="str">
        <f>IF(COUNTIF($A$2:$A$241,A29)&gt;1,"DUPLICATE","OK")</f>
        <v>OK</v>
      </c>
      <c r="K29" s="5" t="str">
        <f>IF(NOT(ISNUMBER(G29)),"NOT NUMBER",IF(OR(AND(LEFT(F29,1)="4",G29&gt;=0),AND(LEFT(F29,1)&lt;&gt;"4",G29&lt;=0)),"OK","CHECK"))</f>
        <v>OK</v>
      </c>
    </row>
    <row r="30" spans="1:11">
      <c r="A30" s="5" t="s">
        <v>87</v>
      </c>
      <c r="B30" s="5" t="s">
        <v>43</v>
      </c>
      <c r="C30" s="6">
        <v>46053</v>
      </c>
      <c r="D30" s="5" t="s">
        <v>79</v>
      </c>
      <c r="E30" s="5" t="s">
        <v>45</v>
      </c>
      <c r="F30" s="5" t="s">
        <v>63</v>
      </c>
      <c r="G30" s="7">
        <v>-69733.75</v>
      </c>
      <c r="H30" s="5" t="s">
        <v>47</v>
      </c>
      <c r="I30" s="5" t="str">
        <f>IF(OR(A30="",B30="",C30="",D30="",F30="",G30=""),"ERROR","OK")</f>
        <v>OK</v>
      </c>
      <c r="J30" s="5" t="str">
        <f>IF(COUNTIF($A$2:$A$241,A30)&gt;1,"DUPLICATE","OK")</f>
        <v>OK</v>
      </c>
      <c r="K30" s="5" t="str">
        <f>IF(NOT(ISNUMBER(G30)),"NOT NUMBER",IF(OR(AND(LEFT(F30,1)="4",G30&gt;=0),AND(LEFT(F30,1)&lt;&gt;"4",G30&lt;=0)),"OK","CHECK"))</f>
        <v>OK</v>
      </c>
    </row>
    <row r="31" spans="1:11">
      <c r="A31" s="5" t="s">
        <v>88</v>
      </c>
      <c r="B31" s="5" t="s">
        <v>43</v>
      </c>
      <c r="C31" s="6">
        <v>46053</v>
      </c>
      <c r="D31" s="5" t="s">
        <v>79</v>
      </c>
      <c r="E31" s="5" t="s">
        <v>45</v>
      </c>
      <c r="F31" s="5" t="s">
        <v>65</v>
      </c>
      <c r="G31" s="7">
        <v>-48192.8</v>
      </c>
      <c r="H31" s="5" t="s">
        <v>47</v>
      </c>
      <c r="I31" s="5" t="str">
        <f>IF(OR(A31="",B31="",C31="",D31="",F31="",G31=""),"ERROR","OK")</f>
        <v>OK</v>
      </c>
      <c r="J31" s="5" t="str">
        <f>IF(COUNTIF($A$2:$A$241,A31)&gt;1,"DUPLICATE","OK")</f>
        <v>OK</v>
      </c>
      <c r="K31" s="5" t="str">
        <f>IF(NOT(ISNUMBER(G31)),"NOT NUMBER",IF(OR(AND(LEFT(F31,1)="4",G31&gt;=0),AND(LEFT(F31,1)&lt;&gt;"4",G31&lt;=0)),"OK","CHECK"))</f>
        <v>OK</v>
      </c>
    </row>
    <row r="32" spans="1:11">
      <c r="A32" s="5" t="s">
        <v>89</v>
      </c>
      <c r="B32" s="5" t="s">
        <v>43</v>
      </c>
      <c r="C32" s="6">
        <v>46053</v>
      </c>
      <c r="D32" s="5" t="s">
        <v>90</v>
      </c>
      <c r="E32" s="5" t="s">
        <v>91</v>
      </c>
      <c r="F32" s="5" t="s">
        <v>46</v>
      </c>
      <c r="G32" s="7">
        <v>346016.39</v>
      </c>
      <c r="H32" s="5" t="s">
        <v>47</v>
      </c>
      <c r="I32" s="5" t="str">
        <f>IF(OR(A32="",B32="",C32="",D32="",F32="",G32=""),"ERROR","OK")</f>
        <v>OK</v>
      </c>
      <c r="J32" s="5" t="str">
        <f>IF(COUNTIF($A$2:$A$241,A32)&gt;1,"DUPLICATE","OK")</f>
        <v>OK</v>
      </c>
      <c r="K32" s="5" t="str">
        <f>IF(NOT(ISNUMBER(G32)),"NOT NUMBER",IF(OR(AND(LEFT(F32,1)="4",G32&gt;=0),AND(LEFT(F32,1)&lt;&gt;"4",G32&lt;=0)),"OK","CHECK"))</f>
        <v>OK</v>
      </c>
    </row>
    <row r="33" spans="1:11">
      <c r="A33" s="5" t="s">
        <v>92</v>
      </c>
      <c r="B33" s="5" t="s">
        <v>43</v>
      </c>
      <c r="C33" s="6">
        <v>46053</v>
      </c>
      <c r="D33" s="5" t="s">
        <v>90</v>
      </c>
      <c r="E33" s="5" t="s">
        <v>91</v>
      </c>
      <c r="F33" s="5" t="s">
        <v>49</v>
      </c>
      <c r="G33" s="7">
        <v>176057.06</v>
      </c>
      <c r="H33" s="5" t="s">
        <v>47</v>
      </c>
      <c r="I33" s="5" t="str">
        <f>IF(OR(A33="",B33="",C33="",D33="",F33="",G33=""),"ERROR","OK")</f>
        <v>OK</v>
      </c>
      <c r="J33" s="5" t="str">
        <f>IF(COUNTIF($A$2:$A$241,A33)&gt;1,"DUPLICATE","OK")</f>
        <v>OK</v>
      </c>
      <c r="K33" s="5" t="str">
        <f>IF(NOT(ISNUMBER(G33)),"NOT NUMBER",IF(OR(AND(LEFT(F33,1)="4",G33&gt;=0),AND(LEFT(F33,1)&lt;&gt;"4",G33&lt;=0)),"OK","CHECK"))</f>
        <v>OK</v>
      </c>
    </row>
    <row r="34" spans="1:11">
      <c r="A34" s="5" t="s">
        <v>93</v>
      </c>
      <c r="B34" s="5" t="s">
        <v>43</v>
      </c>
      <c r="C34" s="6">
        <v>46053</v>
      </c>
      <c r="D34" s="5" t="s">
        <v>90</v>
      </c>
      <c r="E34" s="5" t="s">
        <v>91</v>
      </c>
      <c r="F34" s="5" t="s">
        <v>51</v>
      </c>
      <c r="G34" s="7">
        <v>107950.83</v>
      </c>
      <c r="H34" s="5" t="s">
        <v>47</v>
      </c>
      <c r="I34" s="5" t="str">
        <f>IF(OR(A34="",B34="",C34="",D34="",F34="",G34=""),"ERROR","OK")</f>
        <v>OK</v>
      </c>
      <c r="J34" s="5" t="str">
        <f>IF(COUNTIF($A$2:$A$241,A34)&gt;1,"DUPLICATE","OK")</f>
        <v>OK</v>
      </c>
      <c r="K34" s="5" t="str">
        <f>IF(NOT(ISNUMBER(G34)),"NOT NUMBER",IF(OR(AND(LEFT(F34,1)="4",G34&gt;=0),AND(LEFT(F34,1)&lt;&gt;"4",G34&lt;=0)),"OK","CHECK"))</f>
        <v>OK</v>
      </c>
    </row>
    <row r="35" spans="1:11">
      <c r="A35" s="5" t="s">
        <v>94</v>
      </c>
      <c r="B35" s="5" t="s">
        <v>43</v>
      </c>
      <c r="C35" s="6">
        <v>46053</v>
      </c>
      <c r="D35" s="5" t="s">
        <v>90</v>
      </c>
      <c r="E35" s="5" t="s">
        <v>91</v>
      </c>
      <c r="F35" s="5" t="s">
        <v>53</v>
      </c>
      <c r="G35" s="7">
        <v>-168074.28</v>
      </c>
      <c r="H35" s="5" t="s">
        <v>47</v>
      </c>
      <c r="I35" s="5" t="str">
        <f>IF(OR(A35="",B35="",C35="",D35="",F35="",G35=""),"ERROR","OK")</f>
        <v>OK</v>
      </c>
      <c r="J35" s="5" t="str">
        <f>IF(COUNTIF($A$2:$A$241,A35)&gt;1,"DUPLICATE","OK")</f>
        <v>OK</v>
      </c>
      <c r="K35" s="5" t="str">
        <f>IF(NOT(ISNUMBER(G35)),"NOT NUMBER",IF(OR(AND(LEFT(F35,1)="4",G35&gt;=0),AND(LEFT(F35,1)&lt;&gt;"4",G35&lt;=0)),"OK","CHECK"))</f>
        <v>OK</v>
      </c>
    </row>
    <row r="36" spans="1:11">
      <c r="A36" s="5" t="s">
        <v>95</v>
      </c>
      <c r="B36" s="5" t="s">
        <v>43</v>
      </c>
      <c r="C36" s="6">
        <v>46053</v>
      </c>
      <c r="D36" s="5" t="s">
        <v>90</v>
      </c>
      <c r="E36" s="5" t="s">
        <v>91</v>
      </c>
      <c r="F36" s="5" t="s">
        <v>55</v>
      </c>
      <c r="G36" s="7">
        <v>-60153.21</v>
      </c>
      <c r="H36" s="5" t="s">
        <v>47</v>
      </c>
      <c r="I36" s="5" t="str">
        <f>IF(OR(A36="",B36="",C36="",D36="",F36="",G36=""),"ERROR","OK")</f>
        <v>OK</v>
      </c>
      <c r="J36" s="5" t="str">
        <f>IF(COUNTIF($A$2:$A$241,A36)&gt;1,"DUPLICATE","OK")</f>
        <v>OK</v>
      </c>
      <c r="K36" s="5" t="str">
        <f>IF(NOT(ISNUMBER(G36)),"NOT NUMBER",IF(OR(AND(LEFT(F36,1)="4",G36&gt;=0),AND(LEFT(F36,1)&lt;&gt;"4",G36&lt;=0)),"OK","CHECK"))</f>
        <v>OK</v>
      </c>
    </row>
    <row r="37" spans="1:11">
      <c r="A37" s="5" t="s">
        <v>96</v>
      </c>
      <c r="B37" s="5" t="s">
        <v>43</v>
      </c>
      <c r="C37" s="6">
        <v>46053</v>
      </c>
      <c r="D37" s="5" t="s">
        <v>90</v>
      </c>
      <c r="E37" s="5" t="s">
        <v>91</v>
      </c>
      <c r="F37" s="5" t="s">
        <v>57</v>
      </c>
      <c r="G37" s="7">
        <v>-68606.83</v>
      </c>
      <c r="H37" s="5" t="s">
        <v>47</v>
      </c>
      <c r="I37" s="5" t="str">
        <f>IF(OR(A37="",B37="",C37="",D37="",F37="",G37=""),"ERROR","OK")</f>
        <v>OK</v>
      </c>
      <c r="J37" s="5" t="str">
        <f>IF(COUNTIF($A$2:$A$241,A37)&gt;1,"DUPLICATE","OK")</f>
        <v>OK</v>
      </c>
      <c r="K37" s="5" t="str">
        <f>IF(NOT(ISNUMBER(G37)),"NOT NUMBER",IF(OR(AND(LEFT(F37,1)="4",G37&gt;=0),AND(LEFT(F37,1)&lt;&gt;"4",G37&lt;=0)),"OK","CHECK"))</f>
        <v>OK</v>
      </c>
    </row>
    <row r="38" spans="1:11">
      <c r="A38" s="5" t="s">
        <v>97</v>
      </c>
      <c r="B38" s="5" t="s">
        <v>43</v>
      </c>
      <c r="C38" s="6">
        <v>46053</v>
      </c>
      <c r="D38" s="5" t="s">
        <v>90</v>
      </c>
      <c r="E38" s="5" t="s">
        <v>91</v>
      </c>
      <c r="F38" s="5" t="s">
        <v>59</v>
      </c>
      <c r="G38" s="7">
        <v>-152662.27</v>
      </c>
      <c r="H38" s="5" t="s">
        <v>47</v>
      </c>
      <c r="I38" s="5" t="str">
        <f>IF(OR(A38="",B38="",C38="",D38="",F38="",G38=""),"ERROR","OK")</f>
        <v>OK</v>
      </c>
      <c r="J38" s="5" t="str">
        <f>IF(COUNTIF($A$2:$A$241,A38)&gt;1,"DUPLICATE","OK")</f>
        <v>OK</v>
      </c>
      <c r="K38" s="5" t="str">
        <f>IF(NOT(ISNUMBER(G38)),"NOT NUMBER",IF(OR(AND(LEFT(F38,1)="4",G38&gt;=0),AND(LEFT(F38,1)&lt;&gt;"4",G38&lt;=0)),"OK","CHECK"))</f>
        <v>OK</v>
      </c>
    </row>
    <row r="39" spans="1:11">
      <c r="A39" s="5" t="s">
        <v>98</v>
      </c>
      <c r="B39" s="5" t="s">
        <v>43</v>
      </c>
      <c r="C39" s="6">
        <v>46053</v>
      </c>
      <c r="D39" s="5" t="s">
        <v>90</v>
      </c>
      <c r="E39" s="5" t="s">
        <v>91</v>
      </c>
      <c r="F39" s="5" t="s">
        <v>61</v>
      </c>
      <c r="G39" s="7">
        <v>-30516.88</v>
      </c>
      <c r="H39" s="5" t="s">
        <v>47</v>
      </c>
      <c r="I39" s="5" t="str">
        <f>IF(OR(A39="",B39="",C39="",D39="",F39="",G39=""),"ERROR","OK")</f>
        <v>OK</v>
      </c>
      <c r="J39" s="5" t="str">
        <f>IF(COUNTIF($A$2:$A$241,A39)&gt;1,"DUPLICATE","OK")</f>
        <v>OK</v>
      </c>
      <c r="K39" s="5" t="str">
        <f>IF(NOT(ISNUMBER(G39)),"NOT NUMBER",IF(OR(AND(LEFT(F39,1)="4",G39&gt;=0),AND(LEFT(F39,1)&lt;&gt;"4",G39&lt;=0)),"OK","CHECK"))</f>
        <v>OK</v>
      </c>
    </row>
    <row r="40" spans="1:11">
      <c r="A40" s="5" t="s">
        <v>99</v>
      </c>
      <c r="B40" s="5" t="s">
        <v>43</v>
      </c>
      <c r="C40" s="6">
        <v>46053</v>
      </c>
      <c r="D40" s="5" t="s">
        <v>90</v>
      </c>
      <c r="E40" s="5" t="s">
        <v>91</v>
      </c>
      <c r="F40" s="5" t="s">
        <v>63</v>
      </c>
      <c r="G40" s="7">
        <v>-25455.29</v>
      </c>
      <c r="H40" s="5" t="s">
        <v>47</v>
      </c>
      <c r="I40" s="5" t="str">
        <f>IF(OR(A40="",B40="",C40="",D40="",F40="",G40=""),"ERROR","OK")</f>
        <v>OK</v>
      </c>
      <c r="J40" s="5" t="str">
        <f>IF(COUNTIF($A$2:$A$241,A40)&gt;1,"DUPLICATE","OK")</f>
        <v>OK</v>
      </c>
      <c r="K40" s="5" t="str">
        <f>IF(NOT(ISNUMBER(G40)),"NOT NUMBER",IF(OR(AND(LEFT(F40,1)="4",G40&gt;=0),AND(LEFT(F40,1)&lt;&gt;"4",G40&lt;=0)),"OK","CHECK"))</f>
        <v>OK</v>
      </c>
    </row>
    <row r="41" spans="1:11">
      <c r="A41" s="5" t="s">
        <v>100</v>
      </c>
      <c r="B41" s="5" t="s">
        <v>43</v>
      </c>
      <c r="C41" s="6">
        <v>46053</v>
      </c>
      <c r="D41" s="5" t="s">
        <v>90</v>
      </c>
      <c r="E41" s="5" t="s">
        <v>91</v>
      </c>
      <c r="F41" s="5" t="s">
        <v>65</v>
      </c>
      <c r="G41" s="7">
        <v>-19503.27</v>
      </c>
      <c r="H41" s="5" t="s">
        <v>47</v>
      </c>
      <c r="I41" s="5" t="str">
        <f>IF(OR(A41="",B41="",C41="",D41="",F41="",G41=""),"ERROR","OK")</f>
        <v>OK</v>
      </c>
      <c r="J41" s="5" t="str">
        <f>IF(COUNTIF($A$2:$A$241,A41)&gt;1,"DUPLICATE","OK")</f>
        <v>OK</v>
      </c>
      <c r="K41" s="5" t="str">
        <f>IF(NOT(ISNUMBER(G41)),"NOT NUMBER",IF(OR(AND(LEFT(F41,1)="4",G41&gt;=0),AND(LEFT(F41,1)&lt;&gt;"4",G41&lt;=0)),"OK","CHECK"))</f>
        <v>OK</v>
      </c>
    </row>
    <row r="42" spans="1:11">
      <c r="A42" s="5" t="s">
        <v>101</v>
      </c>
      <c r="B42" s="5" t="s">
        <v>102</v>
      </c>
      <c r="C42" s="6">
        <v>46081</v>
      </c>
      <c r="D42" s="5" t="s">
        <v>44</v>
      </c>
      <c r="E42" s="5" t="s">
        <v>45</v>
      </c>
      <c r="F42" s="5" t="s">
        <v>46</v>
      </c>
      <c r="G42" s="7">
        <v>811192.27</v>
      </c>
      <c r="H42" s="5" t="s">
        <v>47</v>
      </c>
      <c r="I42" s="5" t="str">
        <f>IF(OR(A42="",B42="",C42="",D42="",F42="",G42=""),"ERROR","OK")</f>
        <v>OK</v>
      </c>
      <c r="J42" s="5" t="str">
        <f>IF(COUNTIF($A$2:$A$241,A42)&gt;1,"DUPLICATE","OK")</f>
        <v>OK</v>
      </c>
      <c r="K42" s="5" t="str">
        <f>IF(NOT(ISNUMBER(G42)),"NOT NUMBER",IF(OR(AND(LEFT(F42,1)="4",G42&gt;=0),AND(LEFT(F42,1)&lt;&gt;"4",G42&lt;=0)),"OK","CHECK"))</f>
        <v>OK</v>
      </c>
    </row>
    <row r="43" spans="1:11">
      <c r="A43" s="5" t="s">
        <v>103</v>
      </c>
      <c r="B43" s="5" t="s">
        <v>102</v>
      </c>
      <c r="C43" s="6">
        <v>46081</v>
      </c>
      <c r="D43" s="5" t="s">
        <v>44</v>
      </c>
      <c r="E43" s="5" t="s">
        <v>45</v>
      </c>
      <c r="F43" s="5" t="s">
        <v>49</v>
      </c>
      <c r="G43" s="7">
        <v>407758.37</v>
      </c>
      <c r="H43" s="5" t="s">
        <v>47</v>
      </c>
      <c r="I43" s="5" t="str">
        <f>IF(OR(A43="",B43="",C43="",D43="",F43="",G43=""),"ERROR","OK")</f>
        <v>OK</v>
      </c>
      <c r="J43" s="5" t="str">
        <f>IF(COUNTIF($A$2:$A$241,A43)&gt;1,"DUPLICATE","OK")</f>
        <v>OK</v>
      </c>
      <c r="K43" s="5" t="str">
        <f>IF(NOT(ISNUMBER(G43)),"NOT NUMBER",IF(OR(AND(LEFT(F43,1)="4",G43&gt;=0),AND(LEFT(F43,1)&lt;&gt;"4",G43&lt;=0)),"OK","CHECK"))</f>
        <v>OK</v>
      </c>
    </row>
    <row r="44" spans="1:11">
      <c r="A44" s="5" t="s">
        <v>104</v>
      </c>
      <c r="B44" s="5" t="s">
        <v>102</v>
      </c>
      <c r="C44" s="6">
        <v>46081</v>
      </c>
      <c r="D44" s="5" t="s">
        <v>44</v>
      </c>
      <c r="E44" s="5" t="s">
        <v>45</v>
      </c>
      <c r="F44" s="5" t="s">
        <v>51</v>
      </c>
      <c r="G44" s="7">
        <v>254392.92</v>
      </c>
      <c r="H44" s="5" t="s">
        <v>47</v>
      </c>
      <c r="I44" s="5" t="str">
        <f>IF(OR(A44="",B44="",C44="",D44="",F44="",G44=""),"ERROR","OK")</f>
        <v>OK</v>
      </c>
      <c r="J44" s="5" t="str">
        <f>IF(COUNTIF($A$2:$A$241,A44)&gt;1,"DUPLICATE","OK")</f>
        <v>OK</v>
      </c>
      <c r="K44" s="5" t="str">
        <f>IF(NOT(ISNUMBER(G44)),"NOT NUMBER",IF(OR(AND(LEFT(F44,1)="4",G44&gt;=0),AND(LEFT(F44,1)&lt;&gt;"4",G44&lt;=0)),"OK","CHECK"))</f>
        <v>OK</v>
      </c>
    </row>
    <row r="45" spans="1:11">
      <c r="A45" s="5" t="s">
        <v>105</v>
      </c>
      <c r="B45" s="5" t="s">
        <v>102</v>
      </c>
      <c r="C45" s="6">
        <v>46081</v>
      </c>
      <c r="D45" s="5" t="s">
        <v>44</v>
      </c>
      <c r="E45" s="5" t="s">
        <v>45</v>
      </c>
      <c r="F45" s="5" t="s">
        <v>53</v>
      </c>
      <c r="G45" s="7">
        <v>-438529.8</v>
      </c>
      <c r="H45" s="5" t="s">
        <v>47</v>
      </c>
      <c r="I45" s="5" t="str">
        <f>IF(OR(A45="",B45="",C45="",D45="",F45="",G45=""),"ERROR","OK")</f>
        <v>OK</v>
      </c>
      <c r="J45" s="5" t="str">
        <f>IF(COUNTIF($A$2:$A$241,A45)&gt;1,"DUPLICATE","OK")</f>
        <v>OK</v>
      </c>
      <c r="K45" s="5" t="str">
        <f>IF(NOT(ISNUMBER(G45)),"NOT NUMBER",IF(OR(AND(LEFT(F45,1)="4",G45&gt;=0),AND(LEFT(F45,1)&lt;&gt;"4",G45&lt;=0)),"OK","CHECK"))</f>
        <v>OK</v>
      </c>
    </row>
    <row r="46" spans="1:11">
      <c r="A46" s="5" t="s">
        <v>106</v>
      </c>
      <c r="B46" s="5" t="s">
        <v>102</v>
      </c>
      <c r="C46" s="6">
        <v>46081</v>
      </c>
      <c r="D46" s="5" t="s">
        <v>44</v>
      </c>
      <c r="E46" s="5" t="s">
        <v>45</v>
      </c>
      <c r="F46" s="5" t="s">
        <v>55</v>
      </c>
      <c r="G46" s="7">
        <v>-134504.59</v>
      </c>
      <c r="H46" s="5" t="s">
        <v>47</v>
      </c>
      <c r="I46" s="5" t="str">
        <f>IF(OR(A46="",B46="",C46="",D46="",F46="",G46=""),"ERROR","OK")</f>
        <v>OK</v>
      </c>
      <c r="J46" s="5" t="str">
        <f>IF(COUNTIF($A$2:$A$241,A46)&gt;1,"DUPLICATE","OK")</f>
        <v>OK</v>
      </c>
      <c r="K46" s="5" t="str">
        <f>IF(NOT(ISNUMBER(G46)),"NOT NUMBER",IF(OR(AND(LEFT(F46,1)="4",G46&gt;=0),AND(LEFT(F46,1)&lt;&gt;"4",G46&lt;=0)),"OK","CHECK"))</f>
        <v>OK</v>
      </c>
    </row>
    <row r="47" spans="1:11">
      <c r="A47" s="5" t="s">
        <v>107</v>
      </c>
      <c r="B47" s="5" t="s">
        <v>102</v>
      </c>
      <c r="C47" s="6">
        <v>46081</v>
      </c>
      <c r="D47" s="5" t="s">
        <v>44</v>
      </c>
      <c r="E47" s="5" t="s">
        <v>45</v>
      </c>
      <c r="F47" s="5" t="s">
        <v>57</v>
      </c>
      <c r="G47" s="7">
        <v>-157669.86</v>
      </c>
      <c r="H47" s="5" t="s">
        <v>47</v>
      </c>
      <c r="I47" s="5" t="str">
        <f>IF(OR(A47="",B47="",C47="",D47="",F47="",G47=""),"ERROR","OK")</f>
        <v>OK</v>
      </c>
      <c r="J47" s="5" t="str">
        <f>IF(COUNTIF($A$2:$A$241,A47)&gt;1,"DUPLICATE","OK")</f>
        <v>OK</v>
      </c>
      <c r="K47" s="5" t="str">
        <f>IF(NOT(ISNUMBER(G47)),"NOT NUMBER",IF(OR(AND(LEFT(F47,1)="4",G47&gt;=0),AND(LEFT(F47,1)&lt;&gt;"4",G47&lt;=0)),"OK","CHECK"))</f>
        <v>OK</v>
      </c>
    </row>
    <row r="48" spans="1:11">
      <c r="A48" s="5" t="s">
        <v>108</v>
      </c>
      <c r="B48" s="5" t="s">
        <v>102</v>
      </c>
      <c r="C48" s="6">
        <v>46081</v>
      </c>
      <c r="D48" s="5" t="s">
        <v>44</v>
      </c>
      <c r="E48" s="5" t="s">
        <v>45</v>
      </c>
      <c r="F48" s="5" t="s">
        <v>59</v>
      </c>
      <c r="G48" s="7">
        <v>-349067.94</v>
      </c>
      <c r="H48" s="5" t="s">
        <v>47</v>
      </c>
      <c r="I48" s="5" t="str">
        <f>IF(OR(A48="",B48="",C48="",D48="",F48="",G48=""),"ERROR","OK")</f>
        <v>OK</v>
      </c>
      <c r="J48" s="5" t="str">
        <f>IF(COUNTIF($A$2:$A$241,A48)&gt;1,"DUPLICATE","OK")</f>
        <v>OK</v>
      </c>
      <c r="K48" s="5" t="str">
        <f>IF(NOT(ISNUMBER(G48)),"NOT NUMBER",IF(OR(AND(LEFT(F48,1)="4",G48&gt;=0),AND(LEFT(F48,1)&lt;&gt;"4",G48&lt;=0)),"OK","CHECK"))</f>
        <v>OK</v>
      </c>
    </row>
    <row r="49" spans="1:11">
      <c r="A49" s="5" t="s">
        <v>109</v>
      </c>
      <c r="B49" s="5" t="s">
        <v>102</v>
      </c>
      <c r="C49" s="6">
        <v>46081</v>
      </c>
      <c r="D49" s="5" t="s">
        <v>44</v>
      </c>
      <c r="E49" s="5" t="s">
        <v>45</v>
      </c>
      <c r="F49" s="5" t="s">
        <v>61</v>
      </c>
      <c r="G49" s="7">
        <v>-72228.5</v>
      </c>
      <c r="H49" s="5" t="s">
        <v>47</v>
      </c>
      <c r="I49" s="5" t="str">
        <f>IF(OR(A49="",B49="",C49="",D49="",F49="",G49=""),"ERROR","OK")</f>
        <v>OK</v>
      </c>
      <c r="J49" s="5" t="str">
        <f>IF(COUNTIF($A$2:$A$241,A49)&gt;1,"DUPLICATE","OK")</f>
        <v>OK</v>
      </c>
      <c r="K49" s="5" t="str">
        <f>IF(NOT(ISNUMBER(G49)),"NOT NUMBER",IF(OR(AND(LEFT(F49,1)="4",G49&gt;=0),AND(LEFT(F49,1)&lt;&gt;"4",G49&lt;=0)),"OK","CHECK"))</f>
        <v>OK</v>
      </c>
    </row>
    <row r="50" spans="1:11">
      <c r="A50" s="5" t="s">
        <v>110</v>
      </c>
      <c r="B50" s="5" t="s">
        <v>102</v>
      </c>
      <c r="C50" s="6">
        <v>46081</v>
      </c>
      <c r="D50" s="5" t="s">
        <v>44</v>
      </c>
      <c r="E50" s="5" t="s">
        <v>45</v>
      </c>
      <c r="F50" s="5" t="s">
        <v>63</v>
      </c>
      <c r="G50" s="7">
        <v>-60019.94</v>
      </c>
      <c r="H50" s="5" t="s">
        <v>47</v>
      </c>
      <c r="I50" s="5" t="str">
        <f>IF(OR(A50="",B50="",C50="",D50="",F50="",G50=""),"ERROR","OK")</f>
        <v>OK</v>
      </c>
      <c r="J50" s="5" t="str">
        <f>IF(COUNTIF($A$2:$A$241,A50)&gt;1,"DUPLICATE","OK")</f>
        <v>OK</v>
      </c>
      <c r="K50" s="5" t="str">
        <f>IF(NOT(ISNUMBER(G50)),"NOT NUMBER",IF(OR(AND(LEFT(F50,1)="4",G50&gt;=0),AND(LEFT(F50,1)&lt;&gt;"4",G50&lt;=0)),"OK","CHECK"))</f>
        <v>OK</v>
      </c>
    </row>
    <row r="51" spans="1:11">
      <c r="A51" s="5" t="s">
        <v>111</v>
      </c>
      <c r="B51" s="5" t="s">
        <v>102</v>
      </c>
      <c r="C51" s="6">
        <v>46081</v>
      </c>
      <c r="D51" s="5" t="s">
        <v>44</v>
      </c>
      <c r="E51" s="5" t="s">
        <v>45</v>
      </c>
      <c r="F51" s="5" t="s">
        <v>65</v>
      </c>
      <c r="G51" s="7">
        <v>-42584.04</v>
      </c>
      <c r="H51" s="5" t="s">
        <v>47</v>
      </c>
      <c r="I51" s="5" t="str">
        <f>IF(OR(A51="",B51="",C51="",D51="",F51="",G51=""),"ERROR","OK")</f>
        <v>OK</v>
      </c>
      <c r="J51" s="5" t="str">
        <f>IF(COUNTIF($A$2:$A$241,A51)&gt;1,"DUPLICATE","OK")</f>
        <v>OK</v>
      </c>
      <c r="K51" s="5" t="str">
        <f>IF(NOT(ISNUMBER(G51)),"NOT NUMBER",IF(OR(AND(LEFT(F51,1)="4",G51&gt;=0),AND(LEFT(F51,1)&lt;&gt;"4",G51&lt;=0)),"OK","CHECK"))</f>
        <v>OK</v>
      </c>
    </row>
    <row r="52" spans="1:11">
      <c r="A52" s="5" t="s">
        <v>112</v>
      </c>
      <c r="B52" s="5" t="s">
        <v>102</v>
      </c>
      <c r="C52" s="6">
        <v>46081</v>
      </c>
      <c r="D52" s="5" t="s">
        <v>67</v>
      </c>
      <c r="E52" s="5" t="s">
        <v>68</v>
      </c>
      <c r="F52" s="5" t="s">
        <v>46</v>
      </c>
      <c r="G52" s="7">
        <v>547025.6</v>
      </c>
      <c r="H52" s="5" t="s">
        <v>47</v>
      </c>
      <c r="I52" s="5" t="str">
        <f>IF(OR(A52="",B52="",C52="",D52="",F52="",G52=""),"ERROR","OK")</f>
        <v>OK</v>
      </c>
      <c r="J52" s="5" t="str">
        <f>IF(COUNTIF($A$2:$A$241,A52)&gt;1,"DUPLICATE","OK")</f>
        <v>OK</v>
      </c>
      <c r="K52" s="5" t="str">
        <f>IF(NOT(ISNUMBER(G52)),"NOT NUMBER",IF(OR(AND(LEFT(F52,1)="4",G52&gt;=0),AND(LEFT(F52,1)&lt;&gt;"4",G52&lt;=0)),"OK","CHECK"))</f>
        <v>OK</v>
      </c>
    </row>
    <row r="53" spans="1:11">
      <c r="A53" s="5" t="s">
        <v>113</v>
      </c>
      <c r="B53" s="5" t="s">
        <v>102</v>
      </c>
      <c r="C53" s="6">
        <v>46081</v>
      </c>
      <c r="D53" s="5" t="s">
        <v>67</v>
      </c>
      <c r="E53" s="5" t="s">
        <v>68</v>
      </c>
      <c r="F53" s="5" t="s">
        <v>49</v>
      </c>
      <c r="G53" s="7">
        <v>281203</v>
      </c>
      <c r="H53" s="5" t="s">
        <v>47</v>
      </c>
      <c r="I53" s="5" t="str">
        <f>IF(OR(A53="",B53="",C53="",D53="",F53="",G53=""),"ERROR","OK")</f>
        <v>OK</v>
      </c>
      <c r="J53" s="5" t="str">
        <f>IF(COUNTIF($A$2:$A$241,A53)&gt;1,"DUPLICATE","OK")</f>
        <v>OK</v>
      </c>
      <c r="K53" s="5" t="str">
        <f>IF(NOT(ISNUMBER(G53)),"NOT NUMBER",IF(OR(AND(LEFT(F53,1)="4",G53&gt;=0),AND(LEFT(F53,1)&lt;&gt;"4",G53&lt;=0)),"OK","CHECK"))</f>
        <v>OK</v>
      </c>
    </row>
    <row r="54" spans="1:11">
      <c r="A54" s="5" t="s">
        <v>114</v>
      </c>
      <c r="B54" s="5" t="s">
        <v>102</v>
      </c>
      <c r="C54" s="6">
        <v>46081</v>
      </c>
      <c r="D54" s="5" t="s">
        <v>67</v>
      </c>
      <c r="E54" s="5" t="s">
        <v>68</v>
      </c>
      <c r="F54" s="5" t="s">
        <v>51</v>
      </c>
      <c r="G54" s="7">
        <v>170225.74</v>
      </c>
      <c r="H54" s="5" t="s">
        <v>47</v>
      </c>
      <c r="I54" s="5" t="str">
        <f>IF(OR(A54="",B54="",C54="",D54="",F54="",G54=""),"ERROR","OK")</f>
        <v>OK</v>
      </c>
      <c r="J54" s="5" t="str">
        <f>IF(COUNTIF($A$2:$A$241,A54)&gt;1,"DUPLICATE","OK")</f>
        <v>OK</v>
      </c>
      <c r="K54" s="5" t="str">
        <f>IF(NOT(ISNUMBER(G54)),"NOT NUMBER",IF(OR(AND(LEFT(F54,1)="4",G54&gt;=0),AND(LEFT(F54,1)&lt;&gt;"4",G54&lt;=0)),"OK","CHECK"))</f>
        <v>OK</v>
      </c>
    </row>
    <row r="55" spans="1:11">
      <c r="A55" s="5" t="s">
        <v>115</v>
      </c>
      <c r="B55" s="5" t="s">
        <v>102</v>
      </c>
      <c r="C55" s="6">
        <v>46081</v>
      </c>
      <c r="D55" s="5" t="s">
        <v>67</v>
      </c>
      <c r="E55" s="5" t="s">
        <v>68</v>
      </c>
      <c r="F55" s="5" t="s">
        <v>53</v>
      </c>
      <c r="G55" s="7">
        <v>-281054.15</v>
      </c>
      <c r="H55" s="5" t="s">
        <v>47</v>
      </c>
      <c r="I55" s="5" t="str">
        <f>IF(OR(A55="",B55="",C55="",D55="",F55="",G55=""),"ERROR","OK")</f>
        <v>OK</v>
      </c>
      <c r="J55" s="5" t="str">
        <f>IF(COUNTIF($A$2:$A$241,A55)&gt;1,"DUPLICATE","OK")</f>
        <v>OK</v>
      </c>
      <c r="K55" s="5" t="str">
        <f>IF(NOT(ISNUMBER(G55)),"NOT NUMBER",IF(OR(AND(LEFT(F55,1)="4",G55&gt;=0),AND(LEFT(F55,1)&lt;&gt;"4",G55&lt;=0)),"OK","CHECK"))</f>
        <v>OK</v>
      </c>
    </row>
    <row r="56" spans="1:11">
      <c r="A56" s="5" t="s">
        <v>116</v>
      </c>
      <c r="B56" s="5" t="s">
        <v>102</v>
      </c>
      <c r="C56" s="6">
        <v>46081</v>
      </c>
      <c r="D56" s="5" t="s">
        <v>67</v>
      </c>
      <c r="E56" s="5" t="s">
        <v>68</v>
      </c>
      <c r="F56" s="5" t="s">
        <v>55</v>
      </c>
      <c r="G56" s="7">
        <v>-95275.00999999999</v>
      </c>
      <c r="H56" s="5" t="s">
        <v>47</v>
      </c>
      <c r="I56" s="5" t="str">
        <f>IF(OR(A56="",B56="",C56="",D56="",F56="",G56=""),"ERROR","OK")</f>
        <v>OK</v>
      </c>
      <c r="J56" s="5" t="str">
        <f>IF(COUNTIF($A$2:$A$241,A56)&gt;1,"DUPLICATE","OK")</f>
        <v>OK</v>
      </c>
      <c r="K56" s="5" t="str">
        <f>IF(NOT(ISNUMBER(G56)),"NOT NUMBER",IF(OR(AND(LEFT(F56,1)="4",G56&gt;=0),AND(LEFT(F56,1)&lt;&gt;"4",G56&lt;=0)),"OK","CHECK"))</f>
        <v>OK</v>
      </c>
    </row>
    <row r="57" spans="1:11">
      <c r="A57" s="5" t="s">
        <v>117</v>
      </c>
      <c r="B57" s="5" t="s">
        <v>102</v>
      </c>
      <c r="C57" s="6">
        <v>46081</v>
      </c>
      <c r="D57" s="5" t="s">
        <v>67</v>
      </c>
      <c r="E57" s="5" t="s">
        <v>68</v>
      </c>
      <c r="F57" s="5" t="s">
        <v>57</v>
      </c>
      <c r="G57" s="7">
        <v>-117023.95</v>
      </c>
      <c r="H57" s="5" t="s">
        <v>47</v>
      </c>
      <c r="I57" s="5" t="str">
        <f>IF(OR(A57="",B57="",C57="",D57="",F57="",G57=""),"ERROR","OK")</f>
        <v>OK</v>
      </c>
      <c r="J57" s="5" t="str">
        <f>IF(COUNTIF($A$2:$A$241,A57)&gt;1,"DUPLICATE","OK")</f>
        <v>OK</v>
      </c>
      <c r="K57" s="5" t="str">
        <f>IF(NOT(ISNUMBER(G57)),"NOT NUMBER",IF(OR(AND(LEFT(F57,1)="4",G57&gt;=0),AND(LEFT(F57,1)&lt;&gt;"4",G57&lt;=0)),"OK","CHECK"))</f>
        <v>OK</v>
      </c>
    </row>
    <row r="58" spans="1:11">
      <c r="A58" s="5" t="s">
        <v>118</v>
      </c>
      <c r="B58" s="5" t="s">
        <v>102</v>
      </c>
      <c r="C58" s="6">
        <v>46081</v>
      </c>
      <c r="D58" s="5" t="s">
        <v>67</v>
      </c>
      <c r="E58" s="5" t="s">
        <v>68</v>
      </c>
      <c r="F58" s="5" t="s">
        <v>59</v>
      </c>
      <c r="G58" s="7">
        <v>-226407</v>
      </c>
      <c r="H58" s="5" t="s">
        <v>47</v>
      </c>
      <c r="I58" s="5" t="str">
        <f>IF(OR(A58="",B58="",C58="",D58="",F58="",G58=""),"ERROR","OK")</f>
        <v>OK</v>
      </c>
      <c r="J58" s="5" t="str">
        <f>IF(COUNTIF($A$2:$A$241,A58)&gt;1,"DUPLICATE","OK")</f>
        <v>OK</v>
      </c>
      <c r="K58" s="5" t="str">
        <f>IF(NOT(ISNUMBER(G58)),"NOT NUMBER",IF(OR(AND(LEFT(F58,1)="4",G58&gt;=0),AND(LEFT(F58,1)&lt;&gt;"4",G58&lt;=0)),"OK","CHECK"))</f>
        <v>OK</v>
      </c>
    </row>
    <row r="59" spans="1:11">
      <c r="A59" s="5" t="s">
        <v>119</v>
      </c>
      <c r="B59" s="5" t="s">
        <v>102</v>
      </c>
      <c r="C59" s="6">
        <v>46081</v>
      </c>
      <c r="D59" s="5" t="s">
        <v>67</v>
      </c>
      <c r="E59" s="5" t="s">
        <v>68</v>
      </c>
      <c r="F59" s="5" t="s">
        <v>61</v>
      </c>
      <c r="G59" s="7">
        <v>-49136</v>
      </c>
      <c r="H59" s="5" t="s">
        <v>47</v>
      </c>
      <c r="I59" s="5" t="str">
        <f>IF(OR(A59="",B59="",C59="",D59="",F59="",G59=""),"ERROR","OK")</f>
        <v>OK</v>
      </c>
      <c r="J59" s="5" t="str">
        <f>IF(COUNTIF($A$2:$A$241,A59)&gt;1,"DUPLICATE","OK")</f>
        <v>OK</v>
      </c>
      <c r="K59" s="5" t="str">
        <f>IF(NOT(ISNUMBER(G59)),"NOT NUMBER",IF(OR(AND(LEFT(F59,1)="4",G59&gt;=0),AND(LEFT(F59,1)&lt;&gt;"4",G59&lt;=0)),"OK","CHECK"))</f>
        <v>OK</v>
      </c>
    </row>
    <row r="60" spans="1:11">
      <c r="A60" s="5" t="s">
        <v>120</v>
      </c>
      <c r="B60" s="5" t="s">
        <v>102</v>
      </c>
      <c r="C60" s="6">
        <v>46081</v>
      </c>
      <c r="D60" s="5" t="s">
        <v>67</v>
      </c>
      <c r="E60" s="5" t="s">
        <v>68</v>
      </c>
      <c r="F60" s="5" t="s">
        <v>63</v>
      </c>
      <c r="G60" s="7">
        <v>-41320.45</v>
      </c>
      <c r="H60" s="5" t="s">
        <v>47</v>
      </c>
      <c r="I60" s="5" t="str">
        <f>IF(OR(A60="",B60="",C60="",D60="",F60="",G60=""),"ERROR","OK")</f>
        <v>OK</v>
      </c>
      <c r="J60" s="5" t="str">
        <f>IF(COUNTIF($A$2:$A$241,A60)&gt;1,"DUPLICATE","OK")</f>
        <v>OK</v>
      </c>
      <c r="K60" s="5" t="str">
        <f>IF(NOT(ISNUMBER(G60)),"NOT NUMBER",IF(OR(AND(LEFT(F60,1)="4",G60&gt;=0),AND(LEFT(F60,1)&lt;&gt;"4",G60&lt;=0)),"OK","CHECK"))</f>
        <v>OK</v>
      </c>
    </row>
    <row r="61" spans="1:11">
      <c r="A61" s="5" t="s">
        <v>121</v>
      </c>
      <c r="B61" s="5" t="s">
        <v>102</v>
      </c>
      <c r="C61" s="6">
        <v>46081</v>
      </c>
      <c r="D61" s="5" t="s">
        <v>67</v>
      </c>
      <c r="E61" s="5" t="s">
        <v>68</v>
      </c>
      <c r="F61" s="5" t="s">
        <v>65</v>
      </c>
      <c r="G61" s="7">
        <v>-29737.85</v>
      </c>
      <c r="H61" s="5" t="s">
        <v>47</v>
      </c>
      <c r="I61" s="5" t="str">
        <f>IF(OR(A61="",B61="",C61="",D61="",F61="",G61=""),"ERROR","OK")</f>
        <v>OK</v>
      </c>
      <c r="J61" s="5" t="str">
        <f>IF(COUNTIF($A$2:$A$241,A61)&gt;1,"DUPLICATE","OK")</f>
        <v>OK</v>
      </c>
      <c r="K61" s="5" t="str">
        <f>IF(NOT(ISNUMBER(G61)),"NOT NUMBER",IF(OR(AND(LEFT(F61,1)="4",G61&gt;=0),AND(LEFT(F61,1)&lt;&gt;"4",G61&lt;=0)),"OK","CHECK"))</f>
        <v>OK</v>
      </c>
    </row>
    <row r="62" spans="1:11">
      <c r="A62" s="5" t="s">
        <v>122</v>
      </c>
      <c r="B62" s="5" t="s">
        <v>102</v>
      </c>
      <c r="C62" s="6">
        <v>46081</v>
      </c>
      <c r="D62" s="5" t="s">
        <v>79</v>
      </c>
      <c r="E62" s="5" t="s">
        <v>45</v>
      </c>
      <c r="F62" s="5" t="s">
        <v>46</v>
      </c>
      <c r="G62" s="7">
        <v>961499.21</v>
      </c>
      <c r="H62" s="5" t="s">
        <v>47</v>
      </c>
      <c r="I62" s="5" t="str">
        <f>IF(OR(A62="",B62="",C62="",D62="",F62="",G62=""),"ERROR","OK")</f>
        <v>OK</v>
      </c>
      <c r="J62" s="5" t="str">
        <f>IF(COUNTIF($A$2:$A$241,A62)&gt;1,"DUPLICATE","OK")</f>
        <v>OK</v>
      </c>
      <c r="K62" s="5" t="str">
        <f>IF(NOT(ISNUMBER(G62)),"NOT NUMBER",IF(OR(AND(LEFT(F62,1)="4",G62&gt;=0),AND(LEFT(F62,1)&lt;&gt;"4",G62&lt;=0)),"OK","CHECK"))</f>
        <v>OK</v>
      </c>
    </row>
    <row r="63" spans="1:11">
      <c r="A63" s="5" t="s">
        <v>123</v>
      </c>
      <c r="B63" s="5" t="s">
        <v>102</v>
      </c>
      <c r="C63" s="6">
        <v>46081</v>
      </c>
      <c r="D63" s="5" t="s">
        <v>79</v>
      </c>
      <c r="E63" s="5" t="s">
        <v>45</v>
      </c>
      <c r="F63" s="5" t="s">
        <v>49</v>
      </c>
      <c r="G63" s="7">
        <v>496008.85</v>
      </c>
      <c r="H63" s="5" t="s">
        <v>47</v>
      </c>
      <c r="I63" s="5" t="str">
        <f>IF(OR(A63="",B63="",C63="",D63="",F63="",G63=""),"ERROR","OK")</f>
        <v>OK</v>
      </c>
      <c r="J63" s="5" t="str">
        <f>IF(COUNTIF($A$2:$A$241,A63)&gt;1,"DUPLICATE","OK")</f>
        <v>OK</v>
      </c>
      <c r="K63" s="5" t="str">
        <f>IF(NOT(ISNUMBER(G63)),"NOT NUMBER",IF(OR(AND(LEFT(F63,1)="4",G63&gt;=0),AND(LEFT(F63,1)&lt;&gt;"4",G63&lt;=0)),"OK","CHECK"))</f>
        <v>OK</v>
      </c>
    </row>
    <row r="64" spans="1:11">
      <c r="A64" s="5" t="s">
        <v>124</v>
      </c>
      <c r="B64" s="5" t="s">
        <v>102</v>
      </c>
      <c r="C64" s="6">
        <v>46081</v>
      </c>
      <c r="D64" s="5" t="s">
        <v>79</v>
      </c>
      <c r="E64" s="5" t="s">
        <v>45</v>
      </c>
      <c r="F64" s="5" t="s">
        <v>51</v>
      </c>
      <c r="G64" s="7">
        <v>294102.69</v>
      </c>
      <c r="H64" s="5" t="s">
        <v>47</v>
      </c>
      <c r="I64" s="5" t="str">
        <f>IF(OR(A64="",B64="",C64="",D64="",F64="",G64=""),"ERROR","OK")</f>
        <v>OK</v>
      </c>
      <c r="J64" s="5" t="str">
        <f>IF(COUNTIF($A$2:$A$241,A64)&gt;1,"DUPLICATE","OK")</f>
        <v>OK</v>
      </c>
      <c r="K64" s="5" t="str">
        <f>IF(NOT(ISNUMBER(G64)),"NOT NUMBER",IF(OR(AND(LEFT(F64,1)="4",G64&gt;=0),AND(LEFT(F64,1)&lt;&gt;"4",G64&lt;=0)),"OK","CHECK"))</f>
        <v>OK</v>
      </c>
    </row>
    <row r="65" spans="1:11">
      <c r="A65" s="5" t="s">
        <v>125</v>
      </c>
      <c r="B65" s="5" t="s">
        <v>102</v>
      </c>
      <c r="C65" s="6">
        <v>46081</v>
      </c>
      <c r="D65" s="5" t="s">
        <v>79</v>
      </c>
      <c r="E65" s="5" t="s">
        <v>45</v>
      </c>
      <c r="F65" s="5" t="s">
        <v>53</v>
      </c>
      <c r="G65" s="7">
        <v>-464505.08</v>
      </c>
      <c r="H65" s="5" t="s">
        <v>47</v>
      </c>
      <c r="I65" s="5" t="str">
        <f>IF(OR(A65="",B65="",C65="",D65="",F65="",G65=""),"ERROR","OK")</f>
        <v>OK</v>
      </c>
      <c r="J65" s="5" t="str">
        <f>IF(COUNTIF($A$2:$A$241,A65)&gt;1,"DUPLICATE","OK")</f>
        <v>OK</v>
      </c>
      <c r="K65" s="5" t="str">
        <f>IF(NOT(ISNUMBER(G65)),"NOT NUMBER",IF(OR(AND(LEFT(F65,1)="4",G65&gt;=0),AND(LEFT(F65,1)&lt;&gt;"4",G65&lt;=0)),"OK","CHECK"))</f>
        <v>OK</v>
      </c>
    </row>
    <row r="66" spans="1:11">
      <c r="A66" s="5" t="s">
        <v>126</v>
      </c>
      <c r="B66" s="5" t="s">
        <v>102</v>
      </c>
      <c r="C66" s="6">
        <v>46081</v>
      </c>
      <c r="D66" s="5" t="s">
        <v>79</v>
      </c>
      <c r="E66" s="5" t="s">
        <v>45</v>
      </c>
      <c r="F66" s="5" t="s">
        <v>55</v>
      </c>
      <c r="G66" s="7">
        <v>-153718.34</v>
      </c>
      <c r="H66" s="5" t="s">
        <v>47</v>
      </c>
      <c r="I66" s="5" t="str">
        <f>IF(OR(A66="",B66="",C66="",D66="",F66="",G66=""),"ERROR","OK")</f>
        <v>OK</v>
      </c>
      <c r="J66" s="5" t="str">
        <f>IF(COUNTIF($A$2:$A$241,A66)&gt;1,"DUPLICATE","OK")</f>
        <v>OK</v>
      </c>
      <c r="K66" s="5" t="str">
        <f>IF(NOT(ISNUMBER(G66)),"NOT NUMBER",IF(OR(AND(LEFT(F66,1)="4",G66&gt;=0),AND(LEFT(F66,1)&lt;&gt;"4",G66&lt;=0)),"OK","CHECK"))</f>
        <v>OK</v>
      </c>
    </row>
    <row r="67" spans="1:11">
      <c r="A67" s="5" t="s">
        <v>127</v>
      </c>
      <c r="B67" s="5" t="s">
        <v>102</v>
      </c>
      <c r="C67" s="6">
        <v>46081</v>
      </c>
      <c r="D67" s="5" t="s">
        <v>79</v>
      </c>
      <c r="E67" s="5" t="s">
        <v>45</v>
      </c>
      <c r="F67" s="5" t="s">
        <v>57</v>
      </c>
      <c r="G67" s="7">
        <v>-198412.98</v>
      </c>
      <c r="H67" s="5" t="s">
        <v>47</v>
      </c>
      <c r="I67" s="5" t="str">
        <f>IF(OR(A67="",B67="",C67="",D67="",F67="",G67=""),"ERROR","OK")</f>
        <v>OK</v>
      </c>
      <c r="J67" s="5" t="str">
        <f>IF(COUNTIF($A$2:$A$241,A67)&gt;1,"DUPLICATE","OK")</f>
        <v>OK</v>
      </c>
      <c r="K67" s="5" t="str">
        <f>IF(NOT(ISNUMBER(G67)),"NOT NUMBER",IF(OR(AND(LEFT(F67,1)="4",G67&gt;=0),AND(LEFT(F67,1)&lt;&gt;"4",G67&lt;=0)),"OK","CHECK"))</f>
        <v>OK</v>
      </c>
    </row>
    <row r="68" spans="1:11">
      <c r="A68" s="5" t="s">
        <v>128</v>
      </c>
      <c r="B68" s="5" t="s">
        <v>102</v>
      </c>
      <c r="C68" s="6">
        <v>46081</v>
      </c>
      <c r="D68" s="5" t="s">
        <v>79</v>
      </c>
      <c r="E68" s="5" t="s">
        <v>45</v>
      </c>
      <c r="F68" s="5" t="s">
        <v>59</v>
      </c>
      <c r="G68" s="7">
        <v>-417046.67</v>
      </c>
      <c r="H68" s="5" t="s">
        <v>47</v>
      </c>
      <c r="I68" s="5" t="str">
        <f>IF(OR(A68="",B68="",C68="",D68="",F68="",G68=""),"ERROR","OK")</f>
        <v>OK</v>
      </c>
      <c r="J68" s="5" t="str">
        <f>IF(COUNTIF($A$2:$A$241,A68)&gt;1,"DUPLICATE","OK")</f>
        <v>OK</v>
      </c>
      <c r="K68" s="5" t="str">
        <f>IF(NOT(ISNUMBER(G68)),"NOT NUMBER",IF(OR(AND(LEFT(F68,1)="4",G68&gt;=0),AND(LEFT(F68,1)&lt;&gt;"4",G68&lt;=0)),"OK","CHECK"))</f>
        <v>OK</v>
      </c>
    </row>
    <row r="69" spans="1:11">
      <c r="A69" s="5" t="s">
        <v>129</v>
      </c>
      <c r="B69" s="5" t="s">
        <v>102</v>
      </c>
      <c r="C69" s="6">
        <v>46081</v>
      </c>
      <c r="D69" s="5" t="s">
        <v>79</v>
      </c>
      <c r="E69" s="5" t="s">
        <v>45</v>
      </c>
      <c r="F69" s="5" t="s">
        <v>61</v>
      </c>
      <c r="G69" s="7">
        <v>-81501.06</v>
      </c>
      <c r="H69" s="5" t="s">
        <v>47</v>
      </c>
      <c r="I69" s="5" t="str">
        <f>IF(OR(A69="",B69="",C69="",D69="",F69="",G69=""),"ERROR","OK")</f>
        <v>OK</v>
      </c>
      <c r="J69" s="5" t="str">
        <f>IF(COUNTIF($A$2:$A$241,A69)&gt;1,"DUPLICATE","OK")</f>
        <v>OK</v>
      </c>
      <c r="K69" s="5" t="str">
        <f>IF(NOT(ISNUMBER(G69)),"NOT NUMBER",IF(OR(AND(LEFT(F69,1)="4",G69&gt;=0),AND(LEFT(F69,1)&lt;&gt;"4",G69&lt;=0)),"OK","CHECK"))</f>
        <v>OK</v>
      </c>
    </row>
    <row r="70" spans="1:11">
      <c r="A70" s="5" t="s">
        <v>130</v>
      </c>
      <c r="B70" s="5" t="s">
        <v>102</v>
      </c>
      <c r="C70" s="6">
        <v>46081</v>
      </c>
      <c r="D70" s="5" t="s">
        <v>79</v>
      </c>
      <c r="E70" s="5" t="s">
        <v>45</v>
      </c>
      <c r="F70" s="5" t="s">
        <v>63</v>
      </c>
      <c r="G70" s="7">
        <v>-66785.39</v>
      </c>
      <c r="H70" s="5" t="s">
        <v>47</v>
      </c>
      <c r="I70" s="5" t="str">
        <f>IF(OR(A70="",B70="",C70="",D70="",F70="",G70=""),"ERROR","OK")</f>
        <v>OK</v>
      </c>
      <c r="J70" s="5" t="str">
        <f>IF(COUNTIF($A$2:$A$241,A70)&gt;1,"DUPLICATE","OK")</f>
        <v>OK</v>
      </c>
      <c r="K70" s="5" t="str">
        <f>IF(NOT(ISNUMBER(G70)),"NOT NUMBER",IF(OR(AND(LEFT(F70,1)="4",G70&gt;=0),AND(LEFT(F70,1)&lt;&gt;"4",G70&lt;=0)),"OK","CHECK"))</f>
        <v>OK</v>
      </c>
    </row>
    <row r="71" spans="1:11">
      <c r="A71" s="5" t="s">
        <v>131</v>
      </c>
      <c r="B71" s="5" t="s">
        <v>102</v>
      </c>
      <c r="C71" s="6">
        <v>46081</v>
      </c>
      <c r="D71" s="5" t="s">
        <v>79</v>
      </c>
      <c r="E71" s="5" t="s">
        <v>45</v>
      </c>
      <c r="F71" s="5" t="s">
        <v>65</v>
      </c>
      <c r="G71" s="7">
        <v>-52516.3</v>
      </c>
      <c r="H71" s="5" t="s">
        <v>47</v>
      </c>
      <c r="I71" s="5" t="str">
        <f>IF(OR(A71="",B71="",C71="",D71="",F71="",G71=""),"ERROR","OK")</f>
        <v>OK</v>
      </c>
      <c r="J71" s="5" t="str">
        <f>IF(COUNTIF($A$2:$A$241,A71)&gt;1,"DUPLICATE","OK")</f>
        <v>OK</v>
      </c>
      <c r="K71" s="5" t="str">
        <f>IF(NOT(ISNUMBER(G71)),"NOT NUMBER",IF(OR(AND(LEFT(F71,1)="4",G71&gt;=0),AND(LEFT(F71,1)&lt;&gt;"4",G71&lt;=0)),"OK","CHECK"))</f>
        <v>OK</v>
      </c>
    </row>
    <row r="72" spans="1:11">
      <c r="A72" s="5" t="s">
        <v>132</v>
      </c>
      <c r="B72" s="5" t="s">
        <v>102</v>
      </c>
      <c r="C72" s="6">
        <v>46081</v>
      </c>
      <c r="D72" s="5" t="s">
        <v>90</v>
      </c>
      <c r="E72" s="5" t="s">
        <v>91</v>
      </c>
      <c r="F72" s="5" t="s">
        <v>46</v>
      </c>
      <c r="G72" s="7">
        <v>343047.52</v>
      </c>
      <c r="H72" s="5" t="s">
        <v>47</v>
      </c>
      <c r="I72" s="5" t="str">
        <f>IF(OR(A72="",B72="",C72="",D72="",F72="",G72=""),"ERROR","OK")</f>
        <v>OK</v>
      </c>
      <c r="J72" s="5" t="str">
        <f>IF(COUNTIF($A$2:$A$241,A72)&gt;1,"DUPLICATE","OK")</f>
        <v>OK</v>
      </c>
      <c r="K72" s="5" t="str">
        <f>IF(NOT(ISNUMBER(G72)),"NOT NUMBER",IF(OR(AND(LEFT(F72,1)="4",G72&gt;=0),AND(LEFT(F72,1)&lt;&gt;"4",G72&lt;=0)),"OK","CHECK"))</f>
        <v>OK</v>
      </c>
    </row>
    <row r="73" spans="1:11">
      <c r="A73" s="5" t="s">
        <v>133</v>
      </c>
      <c r="B73" s="5" t="s">
        <v>102</v>
      </c>
      <c r="C73" s="6">
        <v>46081</v>
      </c>
      <c r="D73" s="5" t="s">
        <v>90</v>
      </c>
      <c r="E73" s="5" t="s">
        <v>91</v>
      </c>
      <c r="F73" s="5" t="s">
        <v>49</v>
      </c>
      <c r="G73" s="7">
        <v>182176.52</v>
      </c>
      <c r="H73" s="5" t="s">
        <v>47</v>
      </c>
      <c r="I73" s="5" t="str">
        <f>IF(OR(A73="",B73="",C73="",D73="",F73="",G73=""),"ERROR","OK")</f>
        <v>OK</v>
      </c>
      <c r="J73" s="5" t="str">
        <f>IF(COUNTIF($A$2:$A$241,A73)&gt;1,"DUPLICATE","OK")</f>
        <v>OK</v>
      </c>
      <c r="K73" s="5" t="str">
        <f>IF(NOT(ISNUMBER(G73)),"NOT NUMBER",IF(OR(AND(LEFT(F73,1)="4",G73&gt;=0),AND(LEFT(F73,1)&lt;&gt;"4",G73&lt;=0)),"OK","CHECK"))</f>
        <v>OK</v>
      </c>
    </row>
    <row r="74" spans="1:11">
      <c r="A74" s="5" t="s">
        <v>134</v>
      </c>
      <c r="B74" s="5" t="s">
        <v>102</v>
      </c>
      <c r="C74" s="6">
        <v>46081</v>
      </c>
      <c r="D74" s="5" t="s">
        <v>90</v>
      </c>
      <c r="E74" s="5" t="s">
        <v>91</v>
      </c>
      <c r="F74" s="5" t="s">
        <v>51</v>
      </c>
      <c r="G74" s="7">
        <v>106723.4</v>
      </c>
      <c r="H74" s="5" t="s">
        <v>47</v>
      </c>
      <c r="I74" s="5" t="str">
        <f>IF(OR(A74="",B74="",C74="",D74="",F74="",G74=""),"ERROR","OK")</f>
        <v>OK</v>
      </c>
      <c r="J74" s="5" t="str">
        <f>IF(COUNTIF($A$2:$A$241,A74)&gt;1,"DUPLICATE","OK")</f>
        <v>OK</v>
      </c>
      <c r="K74" s="5" t="str">
        <f>IF(NOT(ISNUMBER(G74)),"NOT NUMBER",IF(OR(AND(LEFT(F74,1)="4",G74&gt;=0),AND(LEFT(F74,1)&lt;&gt;"4",G74&lt;=0)),"OK","CHECK"))</f>
        <v>OK</v>
      </c>
    </row>
    <row r="75" spans="1:11">
      <c r="A75" s="5" t="s">
        <v>135</v>
      </c>
      <c r="B75" s="5" t="s">
        <v>102</v>
      </c>
      <c r="C75" s="6">
        <v>46081</v>
      </c>
      <c r="D75" s="5" t="s">
        <v>90</v>
      </c>
      <c r="E75" s="5" t="s">
        <v>91</v>
      </c>
      <c r="F75" s="5" t="s">
        <v>53</v>
      </c>
      <c r="G75" s="7">
        <v>-168470.4</v>
      </c>
      <c r="H75" s="5" t="s">
        <v>47</v>
      </c>
      <c r="I75" s="5" t="str">
        <f>IF(OR(A75="",B75="",C75="",D75="",F75="",G75=""),"ERROR","OK")</f>
        <v>OK</v>
      </c>
      <c r="J75" s="5" t="str">
        <f>IF(COUNTIF($A$2:$A$241,A75)&gt;1,"DUPLICATE","OK")</f>
        <v>OK</v>
      </c>
      <c r="K75" s="5" t="str">
        <f>IF(NOT(ISNUMBER(G75)),"NOT NUMBER",IF(OR(AND(LEFT(F75,1)="4",G75&gt;=0),AND(LEFT(F75,1)&lt;&gt;"4",G75&lt;=0)),"OK","CHECK"))</f>
        <v>OK</v>
      </c>
    </row>
    <row r="76" spans="1:11">
      <c r="A76" s="5" t="s">
        <v>136</v>
      </c>
      <c r="B76" s="5" t="s">
        <v>102</v>
      </c>
      <c r="C76" s="6">
        <v>46081</v>
      </c>
      <c r="D76" s="5" t="s">
        <v>90</v>
      </c>
      <c r="E76" s="5" t="s">
        <v>91</v>
      </c>
      <c r="F76" s="5" t="s">
        <v>55</v>
      </c>
      <c r="G76" s="7">
        <v>-58442.39</v>
      </c>
      <c r="H76" s="5" t="s">
        <v>47</v>
      </c>
      <c r="I76" s="5" t="str">
        <f>IF(OR(A76="",B76="",C76="",D76="",F76="",G76=""),"ERROR","OK")</f>
        <v>OK</v>
      </c>
      <c r="J76" s="5" t="str">
        <f>IF(COUNTIF($A$2:$A$241,A76)&gt;1,"DUPLICATE","OK")</f>
        <v>OK</v>
      </c>
      <c r="K76" s="5" t="str">
        <f>IF(NOT(ISNUMBER(G76)),"NOT NUMBER",IF(OR(AND(LEFT(F76,1)="4",G76&gt;=0),AND(LEFT(F76,1)&lt;&gt;"4",G76&lt;=0)),"OK","CHECK"))</f>
        <v>OK</v>
      </c>
    </row>
    <row r="77" spans="1:11">
      <c r="A77" s="5" t="s">
        <v>137</v>
      </c>
      <c r="B77" s="5" t="s">
        <v>102</v>
      </c>
      <c r="C77" s="6">
        <v>46081</v>
      </c>
      <c r="D77" s="5" t="s">
        <v>90</v>
      </c>
      <c r="E77" s="5" t="s">
        <v>91</v>
      </c>
      <c r="F77" s="5" t="s">
        <v>57</v>
      </c>
      <c r="G77" s="7">
        <v>-74820.39999999999</v>
      </c>
      <c r="H77" s="5" t="s">
        <v>47</v>
      </c>
      <c r="I77" s="5" t="str">
        <f>IF(OR(A77="",B77="",C77="",D77="",F77="",G77=""),"ERROR","OK")</f>
        <v>OK</v>
      </c>
      <c r="J77" s="5" t="str">
        <f>IF(COUNTIF($A$2:$A$241,A77)&gt;1,"DUPLICATE","OK")</f>
        <v>OK</v>
      </c>
      <c r="K77" s="5" t="str">
        <f>IF(NOT(ISNUMBER(G77)),"NOT NUMBER",IF(OR(AND(LEFT(F77,1)="4",G77&gt;=0),AND(LEFT(F77,1)&lt;&gt;"4",G77&lt;=0)),"OK","CHECK"))</f>
        <v>OK</v>
      </c>
    </row>
    <row r="78" spans="1:11">
      <c r="A78" s="5" t="s">
        <v>138</v>
      </c>
      <c r="B78" s="5" t="s">
        <v>102</v>
      </c>
      <c r="C78" s="6">
        <v>46081</v>
      </c>
      <c r="D78" s="5" t="s">
        <v>90</v>
      </c>
      <c r="E78" s="5" t="s">
        <v>91</v>
      </c>
      <c r="F78" s="5" t="s">
        <v>59</v>
      </c>
      <c r="G78" s="7">
        <v>-148083.05</v>
      </c>
      <c r="H78" s="5" t="s">
        <v>47</v>
      </c>
      <c r="I78" s="5" t="str">
        <f>IF(OR(A78="",B78="",C78="",D78="",F78="",G78=""),"ERROR","OK")</f>
        <v>OK</v>
      </c>
      <c r="J78" s="5" t="str">
        <f>IF(COUNTIF($A$2:$A$241,A78)&gt;1,"DUPLICATE","OK")</f>
        <v>OK</v>
      </c>
      <c r="K78" s="5" t="str">
        <f>IF(NOT(ISNUMBER(G78)),"NOT NUMBER",IF(OR(AND(LEFT(F78,1)="4",G78&gt;=0),AND(LEFT(F78,1)&lt;&gt;"4",G78&lt;=0)),"OK","CHECK"))</f>
        <v>OK</v>
      </c>
    </row>
    <row r="79" spans="1:11">
      <c r="A79" s="5" t="s">
        <v>139</v>
      </c>
      <c r="B79" s="5" t="s">
        <v>102</v>
      </c>
      <c r="C79" s="6">
        <v>46081</v>
      </c>
      <c r="D79" s="5" t="s">
        <v>90</v>
      </c>
      <c r="E79" s="5" t="s">
        <v>91</v>
      </c>
      <c r="F79" s="5" t="s">
        <v>61</v>
      </c>
      <c r="G79" s="7">
        <v>-31315.04</v>
      </c>
      <c r="H79" s="5" t="s">
        <v>47</v>
      </c>
      <c r="I79" s="5" t="str">
        <f>IF(OR(A79="",B79="",C79="",D79="",F79="",G79=""),"ERROR","OK")</f>
        <v>OK</v>
      </c>
      <c r="J79" s="5" t="str">
        <f>IF(COUNTIF($A$2:$A$241,A79)&gt;1,"DUPLICATE","OK")</f>
        <v>OK</v>
      </c>
      <c r="K79" s="5" t="str">
        <f>IF(NOT(ISNUMBER(G79)),"NOT NUMBER",IF(OR(AND(LEFT(F79,1)="4",G79&gt;=0),AND(LEFT(F79,1)&lt;&gt;"4",G79&lt;=0)),"OK","CHECK"))</f>
        <v>OK</v>
      </c>
    </row>
    <row r="80" spans="1:11">
      <c r="A80" s="5" t="s">
        <v>140</v>
      </c>
      <c r="B80" s="5" t="s">
        <v>102</v>
      </c>
      <c r="C80" s="6">
        <v>46081</v>
      </c>
      <c r="D80" s="5" t="s">
        <v>90</v>
      </c>
      <c r="E80" s="5" t="s">
        <v>91</v>
      </c>
      <c r="F80" s="5" t="s">
        <v>63</v>
      </c>
      <c r="G80" s="7">
        <v>-26781.65</v>
      </c>
      <c r="H80" s="5" t="s">
        <v>47</v>
      </c>
      <c r="I80" s="5" t="str">
        <f>IF(OR(A80="",B80="",C80="",D80="",F80="",G80=""),"ERROR","OK")</f>
        <v>OK</v>
      </c>
      <c r="J80" s="5" t="str">
        <f>IF(COUNTIF($A$2:$A$241,A80)&gt;1,"DUPLICATE","OK")</f>
        <v>OK</v>
      </c>
      <c r="K80" s="5" t="str">
        <f>IF(NOT(ISNUMBER(G80)),"NOT NUMBER",IF(OR(AND(LEFT(F80,1)="4",G80&gt;=0),AND(LEFT(F80,1)&lt;&gt;"4",G80&lt;=0)),"OK","CHECK"))</f>
        <v>OK</v>
      </c>
    </row>
    <row r="81" spans="1:11">
      <c r="A81" s="5" t="s">
        <v>141</v>
      </c>
      <c r="B81" s="5" t="s">
        <v>102</v>
      </c>
      <c r="C81" s="6">
        <v>46081</v>
      </c>
      <c r="D81" s="5" t="s">
        <v>90</v>
      </c>
      <c r="E81" s="5" t="s">
        <v>91</v>
      </c>
      <c r="F81" s="5" t="s">
        <v>65</v>
      </c>
      <c r="G81" s="7">
        <v>-19875.04</v>
      </c>
      <c r="H81" s="5" t="s">
        <v>47</v>
      </c>
      <c r="I81" s="5" t="str">
        <f>IF(OR(A81="",B81="",C81="",D81="",F81="",G81=""),"ERROR","OK")</f>
        <v>OK</v>
      </c>
      <c r="J81" s="5" t="str">
        <f>IF(COUNTIF($A$2:$A$241,A81)&gt;1,"DUPLICATE","OK")</f>
        <v>OK</v>
      </c>
      <c r="K81" s="5" t="str">
        <f>IF(NOT(ISNUMBER(G81)),"NOT NUMBER",IF(OR(AND(LEFT(F81,1)="4",G81&gt;=0),AND(LEFT(F81,1)&lt;&gt;"4",G81&lt;=0)),"OK","CHECK"))</f>
        <v>OK</v>
      </c>
    </row>
    <row r="82" spans="1:11">
      <c r="A82" s="5" t="s">
        <v>142</v>
      </c>
      <c r="B82" s="5" t="s">
        <v>143</v>
      </c>
      <c r="C82" s="6">
        <v>46112</v>
      </c>
      <c r="D82" s="5" t="s">
        <v>44</v>
      </c>
      <c r="E82" s="5" t="s">
        <v>45</v>
      </c>
      <c r="F82" s="5" t="s">
        <v>46</v>
      </c>
      <c r="G82" s="7">
        <v>820880.7</v>
      </c>
      <c r="H82" s="5" t="s">
        <v>47</v>
      </c>
      <c r="I82" s="5" t="str">
        <f>IF(OR(A82="",B82="",C82="",D82="",F82="",G82=""),"ERROR","OK")</f>
        <v>OK</v>
      </c>
      <c r="J82" s="5" t="str">
        <f>IF(COUNTIF($A$2:$A$241,A82)&gt;1,"DUPLICATE","OK")</f>
        <v>OK</v>
      </c>
      <c r="K82" s="5" t="str">
        <f>IF(NOT(ISNUMBER(G82)),"NOT NUMBER",IF(OR(AND(LEFT(F82,1)="4",G82&gt;=0),AND(LEFT(F82,1)&lt;&gt;"4",G82&lt;=0)),"OK","CHECK"))</f>
        <v>OK</v>
      </c>
    </row>
    <row r="83" spans="1:11">
      <c r="A83" s="5" t="s">
        <v>144</v>
      </c>
      <c r="B83" s="5" t="s">
        <v>143</v>
      </c>
      <c r="C83" s="6">
        <v>46112</v>
      </c>
      <c r="D83" s="5" t="s">
        <v>44</v>
      </c>
      <c r="E83" s="5" t="s">
        <v>45</v>
      </c>
      <c r="F83" s="5" t="s">
        <v>49</v>
      </c>
      <c r="G83" s="7">
        <v>420507.34</v>
      </c>
      <c r="H83" s="5" t="s">
        <v>47</v>
      </c>
      <c r="I83" s="5" t="str">
        <f>IF(OR(A83="",B83="",C83="",D83="",F83="",G83=""),"ERROR","OK")</f>
        <v>OK</v>
      </c>
      <c r="J83" s="5" t="str">
        <f>IF(COUNTIF($A$2:$A$241,A83)&gt;1,"DUPLICATE","OK")</f>
        <v>OK</v>
      </c>
      <c r="K83" s="5" t="str">
        <f>IF(NOT(ISNUMBER(G83)),"NOT NUMBER",IF(OR(AND(LEFT(F83,1)="4",G83&gt;=0),AND(LEFT(F83,1)&lt;&gt;"4",G83&lt;=0)),"OK","CHECK"))</f>
        <v>OK</v>
      </c>
    </row>
    <row r="84" spans="1:11">
      <c r="A84" s="5" t="s">
        <v>145</v>
      </c>
      <c r="B84" s="5" t="s">
        <v>143</v>
      </c>
      <c r="C84" s="6">
        <v>46112</v>
      </c>
      <c r="D84" s="5" t="s">
        <v>44</v>
      </c>
      <c r="E84" s="5" t="s">
        <v>45</v>
      </c>
      <c r="F84" s="5" t="s">
        <v>51</v>
      </c>
      <c r="G84" s="7">
        <v>255056.82</v>
      </c>
      <c r="H84" s="5" t="s">
        <v>47</v>
      </c>
      <c r="I84" s="5" t="str">
        <f>IF(OR(A84="",B84="",C84="",D84="",F84="",G84=""),"ERROR","OK")</f>
        <v>OK</v>
      </c>
      <c r="J84" s="5" t="str">
        <f>IF(COUNTIF($A$2:$A$241,A84)&gt;1,"DUPLICATE","OK")</f>
        <v>OK</v>
      </c>
      <c r="K84" s="5" t="str">
        <f>IF(NOT(ISNUMBER(G84)),"NOT NUMBER",IF(OR(AND(LEFT(F84,1)="4",G84&gt;=0),AND(LEFT(F84,1)&lt;&gt;"4",G84&lt;=0)),"OK","CHECK"))</f>
        <v>OK</v>
      </c>
    </row>
    <row r="85" spans="1:11">
      <c r="A85" s="5" t="s">
        <v>146</v>
      </c>
      <c r="B85" s="5" t="s">
        <v>143</v>
      </c>
      <c r="C85" s="6">
        <v>46112</v>
      </c>
      <c r="D85" s="5" t="s">
        <v>44</v>
      </c>
      <c r="E85" s="5" t="s">
        <v>45</v>
      </c>
      <c r="F85" s="5" t="s">
        <v>53</v>
      </c>
      <c r="G85" s="7">
        <v>-458297.9</v>
      </c>
      <c r="H85" s="5" t="s">
        <v>47</v>
      </c>
      <c r="I85" s="5" t="str">
        <f>IF(OR(A85="",B85="",C85="",D85="",F85="",G85=""),"ERROR","OK")</f>
        <v>OK</v>
      </c>
      <c r="J85" s="5" t="str">
        <f>IF(COUNTIF($A$2:$A$241,A85)&gt;1,"DUPLICATE","OK")</f>
        <v>OK</v>
      </c>
      <c r="K85" s="5" t="str">
        <f>IF(NOT(ISNUMBER(G85)),"NOT NUMBER",IF(OR(AND(LEFT(F85,1)="4",G85&gt;=0),AND(LEFT(F85,1)&lt;&gt;"4",G85&lt;=0)),"OK","CHECK"))</f>
        <v>OK</v>
      </c>
    </row>
    <row r="86" spans="1:11">
      <c r="A86" s="5" t="s">
        <v>147</v>
      </c>
      <c r="B86" s="5" t="s">
        <v>143</v>
      </c>
      <c r="C86" s="6">
        <v>46112</v>
      </c>
      <c r="D86" s="5" t="s">
        <v>44</v>
      </c>
      <c r="E86" s="5" t="s">
        <v>45</v>
      </c>
      <c r="F86" s="5" t="s">
        <v>55</v>
      </c>
      <c r="G86" s="7">
        <v>-148793.38</v>
      </c>
      <c r="H86" s="5" t="s">
        <v>47</v>
      </c>
      <c r="I86" s="5" t="str">
        <f>IF(OR(A86="",B86="",C86="",D86="",F86="",G86=""),"ERROR","OK")</f>
        <v>OK</v>
      </c>
      <c r="J86" s="5" t="str">
        <f>IF(COUNTIF($A$2:$A$241,A86)&gt;1,"DUPLICATE","OK")</f>
        <v>OK</v>
      </c>
      <c r="K86" s="5" t="str">
        <f>IF(NOT(ISNUMBER(G86)),"NOT NUMBER",IF(OR(AND(LEFT(F86,1)="4",G86&gt;=0),AND(LEFT(F86,1)&lt;&gt;"4",G86&lt;=0)),"OK","CHECK"))</f>
        <v>OK</v>
      </c>
    </row>
    <row r="87" spans="1:11">
      <c r="A87" s="5" t="s">
        <v>148</v>
      </c>
      <c r="B87" s="5" t="s">
        <v>143</v>
      </c>
      <c r="C87" s="6">
        <v>46112</v>
      </c>
      <c r="D87" s="5" t="s">
        <v>44</v>
      </c>
      <c r="E87" s="5" t="s">
        <v>45</v>
      </c>
      <c r="F87" s="5" t="s">
        <v>57</v>
      </c>
      <c r="G87" s="7">
        <v>-174318.15</v>
      </c>
      <c r="H87" s="5" t="s">
        <v>47</v>
      </c>
      <c r="I87" s="5" t="str">
        <f>IF(OR(A87="",B87="",C87="",D87="",F87="",G87=""),"ERROR","OK")</f>
        <v>OK</v>
      </c>
      <c r="J87" s="5" t="str">
        <f>IF(COUNTIF($A$2:$A$241,A87)&gt;1,"DUPLICATE","OK")</f>
        <v>OK</v>
      </c>
      <c r="K87" s="5" t="str">
        <f>IF(NOT(ISNUMBER(G87)),"NOT NUMBER",IF(OR(AND(LEFT(F87,1)="4",G87&gt;=0),AND(LEFT(F87,1)&lt;&gt;"4",G87&lt;=0)),"OK","CHECK"))</f>
        <v>OK</v>
      </c>
    </row>
    <row r="88" spans="1:11">
      <c r="A88" s="5" t="s">
        <v>149</v>
      </c>
      <c r="B88" s="5" t="s">
        <v>143</v>
      </c>
      <c r="C88" s="6">
        <v>46112</v>
      </c>
      <c r="D88" s="5" t="s">
        <v>44</v>
      </c>
      <c r="E88" s="5" t="s">
        <v>45</v>
      </c>
      <c r="F88" s="5" t="s">
        <v>59</v>
      </c>
      <c r="G88" s="7">
        <v>-381307.18</v>
      </c>
      <c r="H88" s="5" t="s">
        <v>47</v>
      </c>
      <c r="I88" s="5" t="str">
        <f>IF(OR(A88="",B88="",C88="",D88="",F88="",G88=""),"ERROR","OK")</f>
        <v>OK</v>
      </c>
      <c r="J88" s="5" t="str">
        <f>IF(COUNTIF($A$2:$A$241,A88)&gt;1,"DUPLICATE","OK")</f>
        <v>OK</v>
      </c>
      <c r="K88" s="5" t="str">
        <f>IF(NOT(ISNUMBER(G88)),"NOT NUMBER",IF(OR(AND(LEFT(F88,1)="4",G88&gt;=0),AND(LEFT(F88,1)&lt;&gt;"4",G88&lt;=0)),"OK","CHECK"))</f>
        <v>OK</v>
      </c>
    </row>
    <row r="89" spans="1:11">
      <c r="A89" s="5" t="s">
        <v>150</v>
      </c>
      <c r="B89" s="5" t="s">
        <v>143</v>
      </c>
      <c r="C89" s="6">
        <v>46112</v>
      </c>
      <c r="D89" s="5" t="s">
        <v>44</v>
      </c>
      <c r="E89" s="5" t="s">
        <v>45</v>
      </c>
      <c r="F89" s="5" t="s">
        <v>61</v>
      </c>
      <c r="G89" s="7">
        <v>-82338.88</v>
      </c>
      <c r="H89" s="5" t="s">
        <v>47</v>
      </c>
      <c r="I89" s="5" t="str">
        <f>IF(OR(A89="",B89="",C89="",D89="",F89="",G89=""),"ERROR","OK")</f>
        <v>OK</v>
      </c>
      <c r="J89" s="5" t="str">
        <f>IF(COUNTIF($A$2:$A$241,A89)&gt;1,"DUPLICATE","OK")</f>
        <v>OK</v>
      </c>
      <c r="K89" s="5" t="str">
        <f>IF(NOT(ISNUMBER(G89)),"NOT NUMBER",IF(OR(AND(LEFT(F89,1)="4",G89&gt;=0),AND(LEFT(F89,1)&lt;&gt;"4",G89&lt;=0)),"OK","CHECK"))</f>
        <v>OK</v>
      </c>
    </row>
    <row r="90" spans="1:11">
      <c r="A90" s="5" t="s">
        <v>151</v>
      </c>
      <c r="B90" s="5" t="s">
        <v>143</v>
      </c>
      <c r="C90" s="6">
        <v>46112</v>
      </c>
      <c r="D90" s="5" t="s">
        <v>44</v>
      </c>
      <c r="E90" s="5" t="s">
        <v>45</v>
      </c>
      <c r="F90" s="5" t="s">
        <v>63</v>
      </c>
      <c r="G90" s="7">
        <v>-59022.11</v>
      </c>
      <c r="H90" s="5" t="s">
        <v>47</v>
      </c>
      <c r="I90" s="5" t="str">
        <f>IF(OR(A90="",B90="",C90="",D90="",F90="",G90=""),"ERROR","OK")</f>
        <v>OK</v>
      </c>
      <c r="J90" s="5" t="str">
        <f>IF(COUNTIF($A$2:$A$241,A90)&gt;1,"DUPLICATE","OK")</f>
        <v>OK</v>
      </c>
      <c r="K90" s="5" t="str">
        <f>IF(NOT(ISNUMBER(G90)),"NOT NUMBER",IF(OR(AND(LEFT(F90,1)="4",G90&gt;=0),AND(LEFT(F90,1)&lt;&gt;"4",G90&lt;=0)),"OK","CHECK"))</f>
        <v>OK</v>
      </c>
    </row>
    <row r="91" spans="1:11">
      <c r="A91" s="5" t="s">
        <v>152</v>
      </c>
      <c r="B91" s="5" t="s">
        <v>143</v>
      </c>
      <c r="C91" s="6">
        <v>46112</v>
      </c>
      <c r="D91" s="5" t="s">
        <v>44</v>
      </c>
      <c r="E91" s="5" t="s">
        <v>45</v>
      </c>
      <c r="F91" s="5" t="s">
        <v>65</v>
      </c>
      <c r="G91" s="7">
        <v>-48743</v>
      </c>
      <c r="H91" s="5" t="s">
        <v>47</v>
      </c>
      <c r="I91" s="5" t="str">
        <f>IF(OR(A91="",B91="",C91="",D91="",F91="",G91=""),"ERROR","OK")</f>
        <v>OK</v>
      </c>
      <c r="J91" s="5" t="str">
        <f>IF(COUNTIF($A$2:$A$241,A91)&gt;1,"DUPLICATE","OK")</f>
        <v>OK</v>
      </c>
      <c r="K91" s="5" t="str">
        <f>IF(NOT(ISNUMBER(G91)),"NOT NUMBER",IF(OR(AND(LEFT(F91,1)="4",G91&gt;=0),AND(LEFT(F91,1)&lt;&gt;"4",G91&lt;=0)),"OK","CHECK"))</f>
        <v>OK</v>
      </c>
    </row>
    <row r="92" spans="1:11">
      <c r="A92" s="5" t="s">
        <v>153</v>
      </c>
      <c r="B92" s="5" t="s">
        <v>143</v>
      </c>
      <c r="C92" s="6">
        <v>46112</v>
      </c>
      <c r="D92" s="5" t="s">
        <v>67</v>
      </c>
      <c r="E92" s="5" t="s">
        <v>68</v>
      </c>
      <c r="F92" s="5" t="s">
        <v>46</v>
      </c>
      <c r="G92" s="7">
        <v>576244.63</v>
      </c>
      <c r="H92" s="5" t="s">
        <v>47</v>
      </c>
      <c r="I92" s="5" t="str">
        <f>IF(OR(A92="",B92="",C92="",D92="",F92="",G92=""),"ERROR","OK")</f>
        <v>OK</v>
      </c>
      <c r="J92" s="5" t="str">
        <f>IF(COUNTIF($A$2:$A$241,A92)&gt;1,"DUPLICATE","OK")</f>
        <v>OK</v>
      </c>
      <c r="K92" s="5" t="str">
        <f>IF(NOT(ISNUMBER(G92)),"NOT NUMBER",IF(OR(AND(LEFT(F92,1)="4",G92&gt;=0),AND(LEFT(F92,1)&lt;&gt;"4",G92&lt;=0)),"OK","CHECK"))</f>
        <v>OK</v>
      </c>
    </row>
    <row r="93" spans="1:11">
      <c r="A93" s="5" t="s">
        <v>154</v>
      </c>
      <c r="B93" s="5" t="s">
        <v>143</v>
      </c>
      <c r="C93" s="6">
        <v>46112</v>
      </c>
      <c r="D93" s="5" t="s">
        <v>67</v>
      </c>
      <c r="E93" s="5" t="s">
        <v>68</v>
      </c>
      <c r="F93" s="5" t="s">
        <v>49</v>
      </c>
      <c r="G93" s="7">
        <v>290741.55</v>
      </c>
      <c r="H93" s="5" t="s">
        <v>47</v>
      </c>
      <c r="I93" s="5" t="str">
        <f>IF(OR(A93="",B93="",C93="",D93="",F93="",G93=""),"ERROR","OK")</f>
        <v>OK</v>
      </c>
      <c r="J93" s="5" t="str">
        <f>IF(COUNTIF($A$2:$A$241,A93)&gt;1,"DUPLICATE","OK")</f>
        <v>OK</v>
      </c>
      <c r="K93" s="5" t="str">
        <f>IF(NOT(ISNUMBER(G93)),"NOT NUMBER",IF(OR(AND(LEFT(F93,1)="4",G93&gt;=0),AND(LEFT(F93,1)&lt;&gt;"4",G93&lt;=0)),"OK","CHECK"))</f>
        <v>OK</v>
      </c>
    </row>
    <row r="94" spans="1:11">
      <c r="A94" s="5" t="s">
        <v>155</v>
      </c>
      <c r="B94" s="5" t="s">
        <v>143</v>
      </c>
      <c r="C94" s="6">
        <v>46112</v>
      </c>
      <c r="D94" s="5" t="s">
        <v>67</v>
      </c>
      <c r="E94" s="5" t="s">
        <v>68</v>
      </c>
      <c r="F94" s="5" t="s">
        <v>51</v>
      </c>
      <c r="G94" s="7">
        <v>178024.09</v>
      </c>
      <c r="H94" s="5" t="s">
        <v>47</v>
      </c>
      <c r="I94" s="5" t="str">
        <f>IF(OR(A94="",B94="",C94="",D94="",F94="",G94=""),"ERROR","OK")</f>
        <v>OK</v>
      </c>
      <c r="J94" s="5" t="str">
        <f>IF(COUNTIF($A$2:$A$241,A94)&gt;1,"DUPLICATE","OK")</f>
        <v>OK</v>
      </c>
      <c r="K94" s="5" t="str">
        <f>IF(NOT(ISNUMBER(G94)),"NOT NUMBER",IF(OR(AND(LEFT(F94,1)="4",G94&gt;=0),AND(LEFT(F94,1)&lt;&gt;"4",G94&lt;=0)),"OK","CHECK"))</f>
        <v>OK</v>
      </c>
    </row>
    <row r="95" spans="1:11">
      <c r="A95" s="5" t="s">
        <v>156</v>
      </c>
      <c r="B95" s="5" t="s">
        <v>143</v>
      </c>
      <c r="C95" s="6">
        <v>46112</v>
      </c>
      <c r="D95" s="5" t="s">
        <v>67</v>
      </c>
      <c r="E95" s="5" t="s">
        <v>68</v>
      </c>
      <c r="F95" s="5" t="s">
        <v>53</v>
      </c>
      <c r="G95" s="7">
        <v>-296396.87</v>
      </c>
      <c r="H95" s="5" t="s">
        <v>47</v>
      </c>
      <c r="I95" s="5" t="str">
        <f>IF(OR(A95="",B95="",C95="",D95="",F95="",G95=""),"ERROR","OK")</f>
        <v>OK</v>
      </c>
      <c r="J95" s="5" t="str">
        <f>IF(COUNTIF($A$2:$A$241,A95)&gt;1,"DUPLICATE","OK")</f>
        <v>OK</v>
      </c>
      <c r="K95" s="5" t="str">
        <f>IF(NOT(ISNUMBER(G95)),"NOT NUMBER",IF(OR(AND(LEFT(F95,1)="4",G95&gt;=0),AND(LEFT(F95,1)&lt;&gt;"4",G95&lt;=0)),"OK","CHECK"))</f>
        <v>OK</v>
      </c>
    </row>
    <row r="96" spans="1:11">
      <c r="A96" s="5" t="s">
        <v>157</v>
      </c>
      <c r="B96" s="5" t="s">
        <v>143</v>
      </c>
      <c r="C96" s="6">
        <v>46112</v>
      </c>
      <c r="D96" s="5" t="s">
        <v>67</v>
      </c>
      <c r="E96" s="5" t="s">
        <v>68</v>
      </c>
      <c r="F96" s="5" t="s">
        <v>55</v>
      </c>
      <c r="G96" s="7">
        <v>-93904.3</v>
      </c>
      <c r="H96" s="5" t="s">
        <v>47</v>
      </c>
      <c r="I96" s="5" t="str">
        <f>IF(OR(A96="",B96="",C96="",D96="",F96="",G96=""),"ERROR","OK")</f>
        <v>OK</v>
      </c>
      <c r="J96" s="5" t="str">
        <f>IF(COUNTIF($A$2:$A$241,A96)&gt;1,"DUPLICATE","OK")</f>
        <v>OK</v>
      </c>
      <c r="K96" s="5" t="str">
        <f>IF(NOT(ISNUMBER(G96)),"NOT NUMBER",IF(OR(AND(LEFT(F96,1)="4",G96&gt;=0),AND(LEFT(F96,1)&lt;&gt;"4",G96&lt;=0)),"OK","CHECK"))</f>
        <v>OK</v>
      </c>
    </row>
    <row r="97" spans="1:11">
      <c r="A97" s="5" t="s">
        <v>158</v>
      </c>
      <c r="B97" s="5" t="s">
        <v>143</v>
      </c>
      <c r="C97" s="6">
        <v>46112</v>
      </c>
      <c r="D97" s="5" t="s">
        <v>67</v>
      </c>
      <c r="E97" s="5" t="s">
        <v>68</v>
      </c>
      <c r="F97" s="5" t="s">
        <v>57</v>
      </c>
      <c r="G97" s="7">
        <v>-108249.9</v>
      </c>
      <c r="H97" s="5" t="s">
        <v>47</v>
      </c>
      <c r="I97" s="5" t="str">
        <f>IF(OR(A97="",B97="",C97="",D97="",F97="",G97=""),"ERROR","OK")</f>
        <v>OK</v>
      </c>
      <c r="J97" s="5" t="str">
        <f>IF(COUNTIF($A$2:$A$241,A97)&gt;1,"DUPLICATE","OK")</f>
        <v>OK</v>
      </c>
      <c r="K97" s="5" t="str">
        <f>IF(NOT(ISNUMBER(G97)),"NOT NUMBER",IF(OR(AND(LEFT(F97,1)="4",G97&gt;=0),AND(LEFT(F97,1)&lt;&gt;"4",G97&lt;=0)),"OK","CHECK"))</f>
        <v>OK</v>
      </c>
    </row>
    <row r="98" spans="1:11">
      <c r="A98" s="5" t="s">
        <v>159</v>
      </c>
      <c r="B98" s="5" t="s">
        <v>143</v>
      </c>
      <c r="C98" s="6">
        <v>46112</v>
      </c>
      <c r="D98" s="5" t="s">
        <v>67</v>
      </c>
      <c r="E98" s="5" t="s">
        <v>68</v>
      </c>
      <c r="F98" s="5" t="s">
        <v>59</v>
      </c>
      <c r="G98" s="7">
        <v>-258014.26</v>
      </c>
      <c r="H98" s="5" t="s">
        <v>47</v>
      </c>
      <c r="I98" s="5" t="str">
        <f>IF(OR(A98="",B98="",C98="",D98="",F98="",G98=""),"ERROR","OK")</f>
        <v>OK</v>
      </c>
      <c r="J98" s="5" t="str">
        <f>IF(COUNTIF($A$2:$A$241,A98)&gt;1,"DUPLICATE","OK")</f>
        <v>OK</v>
      </c>
      <c r="K98" s="5" t="str">
        <f>IF(NOT(ISNUMBER(G98)),"NOT NUMBER",IF(OR(AND(LEFT(F98,1)="4",G98&gt;=0),AND(LEFT(F98,1)&lt;&gt;"4",G98&lt;=0)),"OK","CHECK"))</f>
        <v>OK</v>
      </c>
    </row>
    <row r="99" spans="1:11">
      <c r="A99" s="5" t="s">
        <v>160</v>
      </c>
      <c r="B99" s="5" t="s">
        <v>143</v>
      </c>
      <c r="C99" s="6">
        <v>46112</v>
      </c>
      <c r="D99" s="5" t="s">
        <v>67</v>
      </c>
      <c r="E99" s="5" t="s">
        <v>68</v>
      </c>
      <c r="F99" s="5" t="s">
        <v>61</v>
      </c>
      <c r="G99" s="7">
        <v>-49113.1</v>
      </c>
      <c r="H99" s="5" t="s">
        <v>47</v>
      </c>
      <c r="I99" s="5" t="str">
        <f>IF(OR(A99="",B99="",C99="",D99="",F99="",G99=""),"ERROR","OK")</f>
        <v>OK</v>
      </c>
      <c r="J99" s="5" t="str">
        <f>IF(COUNTIF($A$2:$A$241,A99)&gt;1,"DUPLICATE","OK")</f>
        <v>OK</v>
      </c>
      <c r="K99" s="5" t="str">
        <f>IF(NOT(ISNUMBER(G99)),"NOT NUMBER",IF(OR(AND(LEFT(F99,1)="4",G99&gt;=0),AND(LEFT(F99,1)&lt;&gt;"4",G99&lt;=0)),"OK","CHECK"))</f>
        <v>OK</v>
      </c>
    </row>
    <row r="100" spans="1:11">
      <c r="A100" s="5" t="s">
        <v>161</v>
      </c>
      <c r="B100" s="5" t="s">
        <v>143</v>
      </c>
      <c r="C100" s="6">
        <v>46112</v>
      </c>
      <c r="D100" s="5" t="s">
        <v>67</v>
      </c>
      <c r="E100" s="5" t="s">
        <v>68</v>
      </c>
      <c r="F100" s="5" t="s">
        <v>63</v>
      </c>
      <c r="G100" s="7">
        <v>-43915.48</v>
      </c>
      <c r="H100" s="5" t="s">
        <v>47</v>
      </c>
      <c r="I100" s="5" t="str">
        <f>IF(OR(A100="",B100="",C100="",D100="",F100="",G100=""),"ERROR","OK")</f>
        <v>OK</v>
      </c>
      <c r="J100" s="5" t="str">
        <f>IF(COUNTIF($A$2:$A$241,A100)&gt;1,"DUPLICATE","OK")</f>
        <v>OK</v>
      </c>
      <c r="K100" s="5" t="str">
        <f>IF(NOT(ISNUMBER(G100)),"NOT NUMBER",IF(OR(AND(LEFT(F100,1)="4",G100&gt;=0),AND(LEFT(F100,1)&lt;&gt;"4",G100&lt;=0)),"OK","CHECK"))</f>
        <v>OK</v>
      </c>
    </row>
    <row r="101" spans="1:11">
      <c r="A101" s="5" t="s">
        <v>162</v>
      </c>
      <c r="B101" s="5" t="s">
        <v>143</v>
      </c>
      <c r="C101" s="6">
        <v>46112</v>
      </c>
      <c r="D101" s="5" t="s">
        <v>67</v>
      </c>
      <c r="E101" s="5" t="s">
        <v>68</v>
      </c>
      <c r="F101" s="5" t="s">
        <v>65</v>
      </c>
      <c r="G101" s="7">
        <v>-30267.54</v>
      </c>
      <c r="H101" s="5" t="s">
        <v>47</v>
      </c>
      <c r="I101" s="5" t="str">
        <f>IF(OR(A101="",B101="",C101="",D101="",F101="",G101=""),"ERROR","OK")</f>
        <v>OK</v>
      </c>
      <c r="J101" s="5" t="str">
        <f>IF(COUNTIF($A$2:$A$241,A101)&gt;1,"DUPLICATE","OK")</f>
        <v>OK</v>
      </c>
      <c r="K101" s="5" t="str">
        <f>IF(NOT(ISNUMBER(G101)),"NOT NUMBER",IF(OR(AND(LEFT(F101,1)="4",G101&gt;=0),AND(LEFT(F101,1)&lt;&gt;"4",G101&lt;=0)),"OK","CHECK"))</f>
        <v>OK</v>
      </c>
    </row>
    <row r="102" spans="1:11">
      <c r="A102" s="5" t="s">
        <v>163</v>
      </c>
      <c r="B102" s="5" t="s">
        <v>143</v>
      </c>
      <c r="C102" s="6">
        <v>46112</v>
      </c>
      <c r="D102" s="5" t="s">
        <v>79</v>
      </c>
      <c r="E102" s="5" t="s">
        <v>45</v>
      </c>
      <c r="F102" s="5" t="s">
        <v>46</v>
      </c>
      <c r="G102" s="7">
        <v>1030843.36</v>
      </c>
      <c r="H102" s="5" t="s">
        <v>47</v>
      </c>
      <c r="I102" s="5" t="str">
        <f>IF(OR(A102="",B102="",C102="",D102="",F102="",G102=""),"ERROR","OK")</f>
        <v>OK</v>
      </c>
      <c r="J102" s="5" t="str">
        <f>IF(COUNTIF($A$2:$A$241,A102)&gt;1,"DUPLICATE","OK")</f>
        <v>OK</v>
      </c>
      <c r="K102" s="5" t="str">
        <f>IF(NOT(ISNUMBER(G102)),"NOT NUMBER",IF(OR(AND(LEFT(F102,1)="4",G102&gt;=0),AND(LEFT(F102,1)&lt;&gt;"4",G102&lt;=0)),"OK","CHECK"))</f>
        <v>OK</v>
      </c>
    </row>
    <row r="103" spans="1:11">
      <c r="A103" s="5" t="s">
        <v>164</v>
      </c>
      <c r="B103" s="5" t="s">
        <v>143</v>
      </c>
      <c r="C103" s="6">
        <v>46112</v>
      </c>
      <c r="D103" s="5" t="s">
        <v>79</v>
      </c>
      <c r="E103" s="5" t="s">
        <v>45</v>
      </c>
      <c r="F103" s="5" t="s">
        <v>49</v>
      </c>
      <c r="G103" s="7">
        <v>500378.44</v>
      </c>
      <c r="H103" s="5" t="s">
        <v>47</v>
      </c>
      <c r="I103" s="5" t="str">
        <f>IF(OR(A103="",B103="",C103="",D103="",F103="",G103=""),"ERROR","OK")</f>
        <v>OK</v>
      </c>
      <c r="J103" s="5" t="str">
        <f>IF(COUNTIF($A$2:$A$241,A103)&gt;1,"DUPLICATE","OK")</f>
        <v>OK</v>
      </c>
      <c r="K103" s="5" t="str">
        <f>IF(NOT(ISNUMBER(G103)),"NOT NUMBER",IF(OR(AND(LEFT(F103,1)="4",G103&gt;=0),AND(LEFT(F103,1)&lt;&gt;"4",G103&lt;=0)),"OK","CHECK"))</f>
        <v>OK</v>
      </c>
    </row>
    <row r="104" spans="1:11">
      <c r="A104" s="5" t="s">
        <v>165</v>
      </c>
      <c r="B104" s="5" t="s">
        <v>143</v>
      </c>
      <c r="C104" s="6">
        <v>46112</v>
      </c>
      <c r="D104" s="5" t="s">
        <v>79</v>
      </c>
      <c r="E104" s="5" t="s">
        <v>45</v>
      </c>
      <c r="F104" s="5" t="s">
        <v>51</v>
      </c>
      <c r="G104" s="7">
        <v>318178.93</v>
      </c>
      <c r="H104" s="5" t="s">
        <v>47</v>
      </c>
      <c r="I104" s="5" t="str">
        <f>IF(OR(A104="",B104="",C104="",D104="",F104="",G104=""),"ERROR","OK")</f>
        <v>OK</v>
      </c>
      <c r="J104" s="5" t="str">
        <f>IF(COUNTIF($A$2:$A$241,A104)&gt;1,"DUPLICATE","OK")</f>
        <v>OK</v>
      </c>
      <c r="K104" s="5" t="str">
        <f>IF(NOT(ISNUMBER(G104)),"NOT NUMBER",IF(OR(AND(LEFT(F104,1)="4",G104&gt;=0),AND(LEFT(F104,1)&lt;&gt;"4",G104&lt;=0)),"OK","CHECK"))</f>
        <v>OK</v>
      </c>
    </row>
    <row r="105" spans="1:11">
      <c r="A105" s="5" t="s">
        <v>166</v>
      </c>
      <c r="B105" s="5" t="s">
        <v>143</v>
      </c>
      <c r="C105" s="6">
        <v>46112</v>
      </c>
      <c r="D105" s="5" t="s">
        <v>79</v>
      </c>
      <c r="E105" s="5" t="s">
        <v>45</v>
      </c>
      <c r="F105" s="5" t="s">
        <v>53</v>
      </c>
      <c r="G105" s="7">
        <v>-542219.0600000001</v>
      </c>
      <c r="H105" s="5" t="s">
        <v>47</v>
      </c>
      <c r="I105" s="5" t="str">
        <f>IF(OR(A105="",B105="",C105="",D105="",F105="",G105=""),"ERROR","OK")</f>
        <v>OK</v>
      </c>
      <c r="J105" s="5" t="str">
        <f>IF(COUNTIF($A$2:$A$241,A105)&gt;1,"DUPLICATE","OK")</f>
        <v>OK</v>
      </c>
      <c r="K105" s="5" t="str">
        <f>IF(NOT(ISNUMBER(G105)),"NOT NUMBER",IF(OR(AND(LEFT(F105,1)="4",G105&gt;=0),AND(LEFT(F105,1)&lt;&gt;"4",G105&lt;=0)),"OK","CHECK"))</f>
        <v>OK</v>
      </c>
    </row>
    <row r="106" spans="1:11">
      <c r="A106" s="5" t="s">
        <v>167</v>
      </c>
      <c r="B106" s="5" t="s">
        <v>143</v>
      </c>
      <c r="C106" s="6">
        <v>46112</v>
      </c>
      <c r="D106" s="5" t="s">
        <v>79</v>
      </c>
      <c r="E106" s="5" t="s">
        <v>45</v>
      </c>
      <c r="F106" s="5" t="s">
        <v>55</v>
      </c>
      <c r="G106" s="7">
        <v>-177013.19</v>
      </c>
      <c r="H106" s="5" t="s">
        <v>47</v>
      </c>
      <c r="I106" s="5" t="str">
        <f>IF(OR(A106="",B106="",C106="",D106="",F106="",G106=""),"ERROR","OK")</f>
        <v>OK</v>
      </c>
      <c r="J106" s="5" t="str">
        <f>IF(COUNTIF($A$2:$A$241,A106)&gt;1,"DUPLICATE","OK")</f>
        <v>OK</v>
      </c>
      <c r="K106" s="5" t="str">
        <f>IF(NOT(ISNUMBER(G106)),"NOT NUMBER",IF(OR(AND(LEFT(F106,1)="4",G106&gt;=0),AND(LEFT(F106,1)&lt;&gt;"4",G106&lt;=0)),"OK","CHECK"))</f>
        <v>OK</v>
      </c>
    </row>
    <row r="107" spans="1:11">
      <c r="A107" s="5" t="s">
        <v>168</v>
      </c>
      <c r="B107" s="5" t="s">
        <v>143</v>
      </c>
      <c r="C107" s="6">
        <v>46112</v>
      </c>
      <c r="D107" s="5" t="s">
        <v>79</v>
      </c>
      <c r="E107" s="5" t="s">
        <v>45</v>
      </c>
      <c r="F107" s="5" t="s">
        <v>57</v>
      </c>
      <c r="G107" s="7">
        <v>-198014.03</v>
      </c>
      <c r="H107" s="5" t="s">
        <v>47</v>
      </c>
      <c r="I107" s="5" t="str">
        <f>IF(OR(A107="",B107="",C107="",D107="",F107="",G107=""),"ERROR","OK")</f>
        <v>OK</v>
      </c>
      <c r="J107" s="5" t="str">
        <f>IF(COUNTIF($A$2:$A$241,A107)&gt;1,"DUPLICATE","OK")</f>
        <v>OK</v>
      </c>
      <c r="K107" s="5" t="str">
        <f>IF(NOT(ISNUMBER(G107)),"NOT NUMBER",IF(OR(AND(LEFT(F107,1)="4",G107&gt;=0),AND(LEFT(F107,1)&lt;&gt;"4",G107&lt;=0)),"OK","CHECK"))</f>
        <v>OK</v>
      </c>
    </row>
    <row r="108" spans="1:11">
      <c r="A108" s="5" t="s">
        <v>169</v>
      </c>
      <c r="B108" s="5" t="s">
        <v>143</v>
      </c>
      <c r="C108" s="6">
        <v>46112</v>
      </c>
      <c r="D108" s="5" t="s">
        <v>79</v>
      </c>
      <c r="E108" s="5" t="s">
        <v>45</v>
      </c>
      <c r="F108" s="5" t="s">
        <v>59</v>
      </c>
      <c r="G108" s="7">
        <v>-413921.73</v>
      </c>
      <c r="H108" s="5" t="s">
        <v>47</v>
      </c>
      <c r="I108" s="5" t="str">
        <f>IF(OR(A108="",B108="",C108="",D108="",F108="",G108=""),"ERROR","OK")</f>
        <v>OK</v>
      </c>
      <c r="J108" s="5" t="str">
        <f>IF(COUNTIF($A$2:$A$241,A108)&gt;1,"DUPLICATE","OK")</f>
        <v>OK</v>
      </c>
      <c r="K108" s="5" t="str">
        <f>IF(NOT(ISNUMBER(G108)),"NOT NUMBER",IF(OR(AND(LEFT(F108,1)="4",G108&gt;=0),AND(LEFT(F108,1)&lt;&gt;"4",G108&lt;=0)),"OK","CHECK"))</f>
        <v>OK</v>
      </c>
    </row>
    <row r="109" spans="1:11">
      <c r="A109" s="5" t="s">
        <v>170</v>
      </c>
      <c r="B109" s="5" t="s">
        <v>143</v>
      </c>
      <c r="C109" s="6">
        <v>46112</v>
      </c>
      <c r="D109" s="5" t="s">
        <v>79</v>
      </c>
      <c r="E109" s="5" t="s">
        <v>45</v>
      </c>
      <c r="F109" s="5" t="s">
        <v>61</v>
      </c>
      <c r="G109" s="7">
        <v>-96484.75</v>
      </c>
      <c r="H109" s="5" t="s">
        <v>47</v>
      </c>
      <c r="I109" s="5" t="str">
        <f>IF(OR(A109="",B109="",C109="",D109="",F109="",G109=""),"ERROR","OK")</f>
        <v>OK</v>
      </c>
      <c r="J109" s="5" t="str">
        <f>IF(COUNTIF($A$2:$A$241,A109)&gt;1,"DUPLICATE","OK")</f>
        <v>OK</v>
      </c>
      <c r="K109" s="5" t="str">
        <f>IF(NOT(ISNUMBER(G109)),"NOT NUMBER",IF(OR(AND(LEFT(F109,1)="4",G109&gt;=0),AND(LEFT(F109,1)&lt;&gt;"4",G109&lt;=0)),"OK","CHECK"))</f>
        <v>OK</v>
      </c>
    </row>
    <row r="110" spans="1:11">
      <c r="A110" s="5" t="s">
        <v>171</v>
      </c>
      <c r="B110" s="5" t="s">
        <v>143</v>
      </c>
      <c r="C110" s="6">
        <v>46112</v>
      </c>
      <c r="D110" s="5" t="s">
        <v>79</v>
      </c>
      <c r="E110" s="5" t="s">
        <v>45</v>
      </c>
      <c r="F110" s="5" t="s">
        <v>63</v>
      </c>
      <c r="G110" s="7">
        <v>-75568.17999999999</v>
      </c>
      <c r="H110" s="5" t="s">
        <v>47</v>
      </c>
      <c r="I110" s="5" t="str">
        <f>IF(OR(A110="",B110="",C110="",D110="",F110="",G110=""),"ERROR","OK")</f>
        <v>OK</v>
      </c>
      <c r="J110" s="5" t="str">
        <f>IF(COUNTIF($A$2:$A$241,A110)&gt;1,"DUPLICATE","OK")</f>
        <v>OK</v>
      </c>
      <c r="K110" s="5" t="str">
        <f>IF(NOT(ISNUMBER(G110)),"NOT NUMBER",IF(OR(AND(LEFT(F110,1)="4",G110&gt;=0),AND(LEFT(F110,1)&lt;&gt;"4",G110&lt;=0)),"OK","CHECK"))</f>
        <v>OK</v>
      </c>
    </row>
    <row r="111" spans="1:11">
      <c r="A111" s="5" t="s">
        <v>172</v>
      </c>
      <c r="B111" s="5" t="s">
        <v>143</v>
      </c>
      <c r="C111" s="6">
        <v>46112</v>
      </c>
      <c r="D111" s="5" t="s">
        <v>79</v>
      </c>
      <c r="E111" s="5" t="s">
        <v>45</v>
      </c>
      <c r="F111" s="5" t="s">
        <v>65</v>
      </c>
      <c r="G111" s="7">
        <v>-56635.57</v>
      </c>
      <c r="H111" s="5" t="s">
        <v>47</v>
      </c>
      <c r="I111" s="5" t="str">
        <f>IF(OR(A111="",B111="",C111="",D111="",F111="",G111=""),"ERROR","OK")</f>
        <v>OK</v>
      </c>
      <c r="J111" s="5" t="str">
        <f>IF(COUNTIF($A$2:$A$241,A111)&gt;1,"DUPLICATE","OK")</f>
        <v>OK</v>
      </c>
      <c r="K111" s="5" t="str">
        <f>IF(NOT(ISNUMBER(G111)),"NOT NUMBER",IF(OR(AND(LEFT(F111,1)="4",G111&gt;=0),AND(LEFT(F111,1)&lt;&gt;"4",G111&lt;=0)),"OK","CHECK"))</f>
        <v>OK</v>
      </c>
    </row>
    <row r="112" spans="1:11">
      <c r="A112" s="5" t="s">
        <v>173</v>
      </c>
      <c r="B112" s="5" t="s">
        <v>143</v>
      </c>
      <c r="C112" s="6">
        <v>46112</v>
      </c>
      <c r="D112" s="5" t="s">
        <v>90</v>
      </c>
      <c r="E112" s="5" t="s">
        <v>91</v>
      </c>
      <c r="F112" s="5" t="s">
        <v>46</v>
      </c>
      <c r="G112" s="7">
        <v>365712.36</v>
      </c>
      <c r="H112" s="5" t="s">
        <v>47</v>
      </c>
      <c r="I112" s="5" t="str">
        <f>IF(OR(A112="",B112="",C112="",D112="",F112="",G112=""),"ERROR","OK")</f>
        <v>OK</v>
      </c>
      <c r="J112" s="5" t="str">
        <f>IF(COUNTIF($A$2:$A$241,A112)&gt;1,"DUPLICATE","OK")</f>
        <v>OK</v>
      </c>
      <c r="K112" s="5" t="str">
        <f>IF(NOT(ISNUMBER(G112)),"NOT NUMBER",IF(OR(AND(LEFT(F112,1)="4",G112&gt;=0),AND(LEFT(F112,1)&lt;&gt;"4",G112&lt;=0)),"OK","CHECK"))</f>
        <v>OK</v>
      </c>
    </row>
    <row r="113" spans="1:11">
      <c r="A113" s="5" t="s">
        <v>174</v>
      </c>
      <c r="B113" s="5" t="s">
        <v>143</v>
      </c>
      <c r="C113" s="6">
        <v>46112</v>
      </c>
      <c r="D113" s="5" t="s">
        <v>90</v>
      </c>
      <c r="E113" s="5" t="s">
        <v>91</v>
      </c>
      <c r="F113" s="5" t="s">
        <v>49</v>
      </c>
      <c r="G113" s="7">
        <v>187187.34</v>
      </c>
      <c r="H113" s="5" t="s">
        <v>47</v>
      </c>
      <c r="I113" s="5" t="str">
        <f>IF(OR(A113="",B113="",C113="",D113="",F113="",G113=""),"ERROR","OK")</f>
        <v>OK</v>
      </c>
      <c r="J113" s="5" t="str">
        <f>IF(COUNTIF($A$2:$A$241,A113)&gt;1,"DUPLICATE","OK")</f>
        <v>OK</v>
      </c>
      <c r="K113" s="5" t="str">
        <f>IF(NOT(ISNUMBER(G113)),"NOT NUMBER",IF(OR(AND(LEFT(F113,1)="4",G113&gt;=0),AND(LEFT(F113,1)&lt;&gt;"4",G113&lt;=0)),"OK","CHECK"))</f>
        <v>OK</v>
      </c>
    </row>
    <row r="114" spans="1:11">
      <c r="A114" s="5" t="s">
        <v>175</v>
      </c>
      <c r="B114" s="5" t="s">
        <v>143</v>
      </c>
      <c r="C114" s="6">
        <v>46112</v>
      </c>
      <c r="D114" s="5" t="s">
        <v>90</v>
      </c>
      <c r="E114" s="5" t="s">
        <v>91</v>
      </c>
      <c r="F114" s="5" t="s">
        <v>51</v>
      </c>
      <c r="G114" s="7">
        <v>117199.22</v>
      </c>
      <c r="H114" s="5" t="s">
        <v>47</v>
      </c>
      <c r="I114" s="5" t="str">
        <f>IF(OR(A114="",B114="",C114="",D114="",F114="",G114=""),"ERROR","OK")</f>
        <v>OK</v>
      </c>
      <c r="J114" s="5" t="str">
        <f>IF(COUNTIF($A$2:$A$241,A114)&gt;1,"DUPLICATE","OK")</f>
        <v>OK</v>
      </c>
      <c r="K114" s="5" t="str">
        <f>IF(NOT(ISNUMBER(G114)),"NOT NUMBER",IF(OR(AND(LEFT(F114,1)="4",G114&gt;=0),AND(LEFT(F114,1)&lt;&gt;"4",G114&lt;=0)),"OK","CHECK"))</f>
        <v>OK</v>
      </c>
    </row>
    <row r="115" spans="1:11">
      <c r="A115" s="5" t="s">
        <v>176</v>
      </c>
      <c r="B115" s="5" t="s">
        <v>143</v>
      </c>
      <c r="C115" s="6">
        <v>46112</v>
      </c>
      <c r="D115" s="5" t="s">
        <v>90</v>
      </c>
      <c r="E115" s="5" t="s">
        <v>91</v>
      </c>
      <c r="F115" s="5" t="s">
        <v>53</v>
      </c>
      <c r="G115" s="7">
        <v>-190374.4</v>
      </c>
      <c r="H115" s="5" t="s">
        <v>47</v>
      </c>
      <c r="I115" s="5" t="str">
        <f>IF(OR(A115="",B115="",C115="",D115="",F115="",G115=""),"ERROR","OK")</f>
        <v>OK</v>
      </c>
      <c r="J115" s="5" t="str">
        <f>IF(COUNTIF($A$2:$A$241,A115)&gt;1,"DUPLICATE","OK")</f>
        <v>OK</v>
      </c>
      <c r="K115" s="5" t="str">
        <f>IF(NOT(ISNUMBER(G115)),"NOT NUMBER",IF(OR(AND(LEFT(F115,1)="4",G115&gt;=0),AND(LEFT(F115,1)&lt;&gt;"4",G115&lt;=0)),"OK","CHECK"))</f>
        <v>OK</v>
      </c>
    </row>
    <row r="116" spans="1:11">
      <c r="A116" s="5" t="s">
        <v>177</v>
      </c>
      <c r="B116" s="5" t="s">
        <v>143</v>
      </c>
      <c r="C116" s="6">
        <v>46112</v>
      </c>
      <c r="D116" s="5" t="s">
        <v>90</v>
      </c>
      <c r="E116" s="5" t="s">
        <v>91</v>
      </c>
      <c r="F116" s="5" t="s">
        <v>55</v>
      </c>
      <c r="G116" s="7">
        <v>-59689.51</v>
      </c>
      <c r="H116" s="5" t="s">
        <v>47</v>
      </c>
      <c r="I116" s="5" t="str">
        <f>IF(OR(A116="",B116="",C116="",D116="",F116="",G116=""),"ERROR","OK")</f>
        <v>OK</v>
      </c>
      <c r="J116" s="5" t="str">
        <f>IF(COUNTIF($A$2:$A$241,A116)&gt;1,"DUPLICATE","OK")</f>
        <v>OK</v>
      </c>
      <c r="K116" s="5" t="str">
        <f>IF(NOT(ISNUMBER(G116)),"NOT NUMBER",IF(OR(AND(LEFT(F116,1)="4",G116&gt;=0),AND(LEFT(F116,1)&lt;&gt;"4",G116&lt;=0)),"OK","CHECK"))</f>
        <v>OK</v>
      </c>
    </row>
    <row r="117" spans="1:11">
      <c r="A117" s="5" t="s">
        <v>178</v>
      </c>
      <c r="B117" s="5" t="s">
        <v>143</v>
      </c>
      <c r="C117" s="6">
        <v>46112</v>
      </c>
      <c r="D117" s="5" t="s">
        <v>90</v>
      </c>
      <c r="E117" s="5" t="s">
        <v>91</v>
      </c>
      <c r="F117" s="5" t="s">
        <v>57</v>
      </c>
      <c r="G117" s="7">
        <v>-74643.72</v>
      </c>
      <c r="H117" s="5" t="s">
        <v>47</v>
      </c>
      <c r="I117" s="5" t="str">
        <f>IF(OR(A117="",B117="",C117="",D117="",F117="",G117=""),"ERROR","OK")</f>
        <v>OK</v>
      </c>
      <c r="J117" s="5" t="str">
        <f>IF(COUNTIF($A$2:$A$241,A117)&gt;1,"DUPLICATE","OK")</f>
        <v>OK</v>
      </c>
      <c r="K117" s="5" t="str">
        <f>IF(NOT(ISNUMBER(G117)),"NOT NUMBER",IF(OR(AND(LEFT(F117,1)="4",G117&gt;=0),AND(LEFT(F117,1)&lt;&gt;"4",G117&lt;=0)),"OK","CHECK"))</f>
        <v>OK</v>
      </c>
    </row>
    <row r="118" spans="1:11">
      <c r="A118" s="5" t="s">
        <v>179</v>
      </c>
      <c r="B118" s="5" t="s">
        <v>143</v>
      </c>
      <c r="C118" s="6">
        <v>46112</v>
      </c>
      <c r="D118" s="5" t="s">
        <v>90</v>
      </c>
      <c r="E118" s="5" t="s">
        <v>91</v>
      </c>
      <c r="F118" s="5" t="s">
        <v>59</v>
      </c>
      <c r="G118" s="7">
        <v>-172754.68</v>
      </c>
      <c r="H118" s="5" t="s">
        <v>47</v>
      </c>
      <c r="I118" s="5" t="str">
        <f>IF(OR(A118="",B118="",C118="",D118="",F118="",G118=""),"ERROR","OK")</f>
        <v>OK</v>
      </c>
      <c r="J118" s="5" t="str">
        <f>IF(COUNTIF($A$2:$A$241,A118)&gt;1,"DUPLICATE","OK")</f>
        <v>OK</v>
      </c>
      <c r="K118" s="5" t="str">
        <f>IF(NOT(ISNUMBER(G118)),"NOT NUMBER",IF(OR(AND(LEFT(F118,1)="4",G118&gt;=0),AND(LEFT(F118,1)&lt;&gt;"4",G118&lt;=0)),"OK","CHECK"))</f>
        <v>OK</v>
      </c>
    </row>
    <row r="119" spans="1:11">
      <c r="A119" s="5" t="s">
        <v>180</v>
      </c>
      <c r="B119" s="5" t="s">
        <v>143</v>
      </c>
      <c r="C119" s="6">
        <v>46112</v>
      </c>
      <c r="D119" s="5" t="s">
        <v>90</v>
      </c>
      <c r="E119" s="5" t="s">
        <v>91</v>
      </c>
      <c r="F119" s="5" t="s">
        <v>61</v>
      </c>
      <c r="G119" s="7">
        <v>-35074.29</v>
      </c>
      <c r="H119" s="5" t="s">
        <v>47</v>
      </c>
      <c r="I119" s="5" t="str">
        <f>IF(OR(A119="",B119="",C119="",D119="",F119="",G119=""),"ERROR","OK")</f>
        <v>OK</v>
      </c>
      <c r="J119" s="5" t="str">
        <f>IF(COUNTIF($A$2:$A$241,A119)&gt;1,"DUPLICATE","OK")</f>
        <v>OK</v>
      </c>
      <c r="K119" s="5" t="str">
        <f>IF(NOT(ISNUMBER(G119)),"NOT NUMBER",IF(OR(AND(LEFT(F119,1)="4",G119&gt;=0),AND(LEFT(F119,1)&lt;&gt;"4",G119&lt;=0)),"OK","CHECK"))</f>
        <v>OK</v>
      </c>
    </row>
    <row r="120" spans="1:11">
      <c r="A120" s="5" t="s">
        <v>181</v>
      </c>
      <c r="B120" s="5" t="s">
        <v>143</v>
      </c>
      <c r="C120" s="6">
        <v>46112</v>
      </c>
      <c r="D120" s="5" t="s">
        <v>90</v>
      </c>
      <c r="E120" s="5" t="s">
        <v>91</v>
      </c>
      <c r="F120" s="5" t="s">
        <v>63</v>
      </c>
      <c r="G120" s="7">
        <v>-25932.46</v>
      </c>
      <c r="H120" s="5" t="s">
        <v>47</v>
      </c>
      <c r="I120" s="5" t="str">
        <f>IF(OR(A120="",B120="",C120="",D120="",F120="",G120=""),"ERROR","OK")</f>
        <v>OK</v>
      </c>
      <c r="J120" s="5" t="str">
        <f>IF(COUNTIF($A$2:$A$241,A120)&gt;1,"DUPLICATE","OK")</f>
        <v>OK</v>
      </c>
      <c r="K120" s="5" t="str">
        <f>IF(NOT(ISNUMBER(G120)),"NOT NUMBER",IF(OR(AND(LEFT(F120,1)="4",G120&gt;=0),AND(LEFT(F120,1)&lt;&gt;"4",G120&lt;=0)),"OK","CHECK"))</f>
        <v>OK</v>
      </c>
    </row>
    <row r="121" spans="1:11">
      <c r="A121" s="5" t="s">
        <v>182</v>
      </c>
      <c r="B121" s="5" t="s">
        <v>143</v>
      </c>
      <c r="C121" s="6">
        <v>46112</v>
      </c>
      <c r="D121" s="5" t="s">
        <v>90</v>
      </c>
      <c r="E121" s="5" t="s">
        <v>91</v>
      </c>
      <c r="F121" s="5" t="s">
        <v>65</v>
      </c>
      <c r="G121" s="7">
        <v>-20740.24</v>
      </c>
      <c r="H121" s="5" t="s">
        <v>47</v>
      </c>
      <c r="I121" s="5" t="str">
        <f>IF(OR(A121="",B121="",C121="",D121="",F121="",G121=""),"ERROR","OK")</f>
        <v>OK</v>
      </c>
      <c r="J121" s="5" t="str">
        <f>IF(COUNTIF($A$2:$A$241,A121)&gt;1,"DUPLICATE","OK")</f>
        <v>OK</v>
      </c>
      <c r="K121" s="5" t="str">
        <f>IF(NOT(ISNUMBER(G121)),"NOT NUMBER",IF(OR(AND(LEFT(F121,1)="4",G121&gt;=0),AND(LEFT(F121,1)&lt;&gt;"4",G121&lt;=0)),"OK","CHECK"))</f>
        <v>OK</v>
      </c>
    </row>
    <row r="122" spans="1:11">
      <c r="A122" s="5" t="s">
        <v>183</v>
      </c>
      <c r="B122" s="5" t="s">
        <v>184</v>
      </c>
      <c r="C122" s="6">
        <v>46142</v>
      </c>
      <c r="D122" s="5" t="s">
        <v>44</v>
      </c>
      <c r="E122" s="5" t="s">
        <v>45</v>
      </c>
      <c r="F122" s="5" t="s">
        <v>46</v>
      </c>
      <c r="G122" s="7">
        <v>871878.8199999999</v>
      </c>
      <c r="H122" s="5" t="s">
        <v>47</v>
      </c>
      <c r="I122" s="5" t="str">
        <f>IF(OR(A122="",B122="",C122="",D122="",F122="",G122=""),"ERROR","OK")</f>
        <v>OK</v>
      </c>
      <c r="J122" s="5" t="str">
        <f>IF(COUNTIF($A$2:$A$241,A122)&gt;1,"DUPLICATE","OK")</f>
        <v>OK</v>
      </c>
      <c r="K122" s="5" t="str">
        <f>IF(NOT(ISNUMBER(G122)),"NOT NUMBER",IF(OR(AND(LEFT(F122,1)="4",G122&gt;=0),AND(LEFT(F122,1)&lt;&gt;"4",G122&lt;=0)),"OK","CHECK"))</f>
        <v>OK</v>
      </c>
    </row>
    <row r="123" spans="1:11">
      <c r="A123" s="5" t="s">
        <v>185</v>
      </c>
      <c r="B123" s="5" t="s">
        <v>184</v>
      </c>
      <c r="C123" s="6">
        <v>46142</v>
      </c>
      <c r="D123" s="5" t="s">
        <v>44</v>
      </c>
      <c r="E123" s="5" t="s">
        <v>45</v>
      </c>
      <c r="F123" s="5" t="s">
        <v>49</v>
      </c>
      <c r="G123" s="7">
        <v>451468.52</v>
      </c>
      <c r="H123" s="5" t="s">
        <v>47</v>
      </c>
      <c r="I123" s="5" t="str">
        <f>IF(OR(A123="",B123="",C123="",D123="",F123="",G123=""),"ERROR","OK")</f>
        <v>OK</v>
      </c>
      <c r="J123" s="5" t="str">
        <f>IF(COUNTIF($A$2:$A$241,A123)&gt;1,"DUPLICATE","OK")</f>
        <v>OK</v>
      </c>
      <c r="K123" s="5" t="str">
        <f>IF(NOT(ISNUMBER(G123)),"NOT NUMBER",IF(OR(AND(LEFT(F123,1)="4",G123&gt;=0),AND(LEFT(F123,1)&lt;&gt;"4",G123&lt;=0)),"OK","CHECK"))</f>
        <v>OK</v>
      </c>
    </row>
    <row r="124" spans="1:11">
      <c r="A124" s="5" t="s">
        <v>186</v>
      </c>
      <c r="B124" s="5" t="s">
        <v>184</v>
      </c>
      <c r="C124" s="6">
        <v>46142</v>
      </c>
      <c r="D124" s="5" t="s">
        <v>44</v>
      </c>
      <c r="E124" s="5" t="s">
        <v>45</v>
      </c>
      <c r="F124" s="5" t="s">
        <v>51</v>
      </c>
      <c r="G124" s="7">
        <v>269727.62</v>
      </c>
      <c r="H124" s="5" t="s">
        <v>47</v>
      </c>
      <c r="I124" s="5" t="str">
        <f>IF(OR(A124="",B124="",C124="",D124="",F124="",G124=""),"ERROR","OK")</f>
        <v>OK</v>
      </c>
      <c r="J124" s="5" t="str">
        <f>IF(COUNTIF($A$2:$A$241,A124)&gt;1,"DUPLICATE","OK")</f>
        <v>OK</v>
      </c>
      <c r="K124" s="5" t="str">
        <f>IF(NOT(ISNUMBER(G124)),"NOT NUMBER",IF(OR(AND(LEFT(F124,1)="4",G124&gt;=0),AND(LEFT(F124,1)&lt;&gt;"4",G124&lt;=0)),"OK","CHECK"))</f>
        <v>OK</v>
      </c>
    </row>
    <row r="125" spans="1:11">
      <c r="A125" s="5" t="s">
        <v>187</v>
      </c>
      <c r="B125" s="5" t="s">
        <v>184</v>
      </c>
      <c r="C125" s="6">
        <v>46142</v>
      </c>
      <c r="D125" s="5" t="s">
        <v>44</v>
      </c>
      <c r="E125" s="5" t="s">
        <v>45</v>
      </c>
      <c r="F125" s="5" t="s">
        <v>53</v>
      </c>
      <c r="G125" s="7">
        <v>-428437.32</v>
      </c>
      <c r="H125" s="5" t="s">
        <v>47</v>
      </c>
      <c r="I125" s="5" t="str">
        <f>IF(OR(A125="",B125="",C125="",D125="",F125="",G125=""),"ERROR","OK")</f>
        <v>OK</v>
      </c>
      <c r="J125" s="5" t="str">
        <f>IF(COUNTIF($A$2:$A$241,A125)&gt;1,"DUPLICATE","OK")</f>
        <v>OK</v>
      </c>
      <c r="K125" s="5" t="str">
        <f>IF(NOT(ISNUMBER(G125)),"NOT NUMBER",IF(OR(AND(LEFT(F125,1)="4",G125&gt;=0),AND(LEFT(F125,1)&lt;&gt;"4",G125&lt;=0)),"OK","CHECK"))</f>
        <v>OK</v>
      </c>
    </row>
    <row r="126" spans="1:11">
      <c r="A126" s="5" t="s">
        <v>188</v>
      </c>
      <c r="B126" s="5" t="s">
        <v>184</v>
      </c>
      <c r="C126" s="6">
        <v>46142</v>
      </c>
      <c r="D126" s="5" t="s">
        <v>44</v>
      </c>
      <c r="E126" s="5" t="s">
        <v>45</v>
      </c>
      <c r="F126" s="5" t="s">
        <v>55</v>
      </c>
      <c r="G126" s="7">
        <v>-133161.82</v>
      </c>
      <c r="H126" s="5" t="s">
        <v>47</v>
      </c>
      <c r="I126" s="5" t="str">
        <f>IF(OR(A126="",B126="",C126="",D126="",F126="",G126=""),"ERROR","OK")</f>
        <v>OK</v>
      </c>
      <c r="J126" s="5" t="str">
        <f>IF(COUNTIF($A$2:$A$241,A126)&gt;1,"DUPLICATE","OK")</f>
        <v>OK</v>
      </c>
      <c r="K126" s="5" t="str">
        <f>IF(NOT(ISNUMBER(G126)),"NOT NUMBER",IF(OR(AND(LEFT(F126,1)="4",G126&gt;=0),AND(LEFT(F126,1)&lt;&gt;"4",G126&lt;=0)),"OK","CHECK"))</f>
        <v>OK</v>
      </c>
    </row>
    <row r="127" spans="1:11">
      <c r="A127" s="5" t="s">
        <v>189</v>
      </c>
      <c r="B127" s="5" t="s">
        <v>184</v>
      </c>
      <c r="C127" s="6">
        <v>46142</v>
      </c>
      <c r="D127" s="5" t="s">
        <v>44</v>
      </c>
      <c r="E127" s="5" t="s">
        <v>45</v>
      </c>
      <c r="F127" s="5" t="s">
        <v>57</v>
      </c>
      <c r="G127" s="7">
        <v>-170555.15</v>
      </c>
      <c r="H127" s="5" t="s">
        <v>47</v>
      </c>
      <c r="I127" s="5" t="str">
        <f>IF(OR(A127="",B127="",C127="",D127="",F127="",G127=""),"ERROR","OK")</f>
        <v>OK</v>
      </c>
      <c r="J127" s="5" t="str">
        <f>IF(COUNTIF($A$2:$A$241,A127)&gt;1,"DUPLICATE","OK")</f>
        <v>OK</v>
      </c>
      <c r="K127" s="5" t="str">
        <f>IF(NOT(ISNUMBER(G127)),"NOT NUMBER",IF(OR(AND(LEFT(F127,1)="4",G127&gt;=0),AND(LEFT(F127,1)&lt;&gt;"4",G127&lt;=0)),"OK","CHECK"))</f>
        <v>OK</v>
      </c>
    </row>
    <row r="128" spans="1:11">
      <c r="A128" s="5" t="s">
        <v>190</v>
      </c>
      <c r="B128" s="5" t="s">
        <v>184</v>
      </c>
      <c r="C128" s="6">
        <v>46142</v>
      </c>
      <c r="D128" s="5" t="s">
        <v>44</v>
      </c>
      <c r="E128" s="5" t="s">
        <v>45</v>
      </c>
      <c r="F128" s="5" t="s">
        <v>59</v>
      </c>
      <c r="G128" s="7">
        <v>-358447.77</v>
      </c>
      <c r="H128" s="5" t="s">
        <v>47</v>
      </c>
      <c r="I128" s="5" t="str">
        <f>IF(OR(A128="",B128="",C128="",D128="",F128="",G128=""),"ERROR","OK")</f>
        <v>OK</v>
      </c>
      <c r="J128" s="5" t="str">
        <f>IF(COUNTIF($A$2:$A$241,A128)&gt;1,"DUPLICATE","OK")</f>
        <v>OK</v>
      </c>
      <c r="K128" s="5" t="str">
        <f>IF(NOT(ISNUMBER(G128)),"NOT NUMBER",IF(OR(AND(LEFT(F128,1)="4",G128&gt;=0),AND(LEFT(F128,1)&lt;&gt;"4",G128&lt;=0)),"OK","CHECK"))</f>
        <v>OK</v>
      </c>
    </row>
    <row r="129" spans="1:11">
      <c r="A129" s="5" t="s">
        <v>191</v>
      </c>
      <c r="B129" s="5" t="s">
        <v>184</v>
      </c>
      <c r="C129" s="6">
        <v>46142</v>
      </c>
      <c r="D129" s="5" t="s">
        <v>44</v>
      </c>
      <c r="E129" s="5" t="s">
        <v>45</v>
      </c>
      <c r="F129" s="5" t="s">
        <v>61</v>
      </c>
      <c r="G129" s="7">
        <v>-82686.7</v>
      </c>
      <c r="H129" s="5" t="s">
        <v>47</v>
      </c>
      <c r="I129" s="5" t="str">
        <f>IF(OR(A129="",B129="",C129="",D129="",F129="",G129=""),"ERROR","OK")</f>
        <v>OK</v>
      </c>
      <c r="J129" s="5" t="str">
        <f>IF(COUNTIF($A$2:$A$241,A129)&gt;1,"DUPLICATE","OK")</f>
        <v>OK</v>
      </c>
      <c r="K129" s="5" t="str">
        <f>IF(NOT(ISNUMBER(G129)),"NOT NUMBER",IF(OR(AND(LEFT(F129,1)="4",G129&gt;=0),AND(LEFT(F129,1)&lt;&gt;"4",G129&lt;=0)),"OK","CHECK"))</f>
        <v>OK</v>
      </c>
    </row>
    <row r="130" spans="1:11">
      <c r="A130" s="5" t="s">
        <v>192</v>
      </c>
      <c r="B130" s="5" t="s">
        <v>184</v>
      </c>
      <c r="C130" s="6">
        <v>46142</v>
      </c>
      <c r="D130" s="5" t="s">
        <v>44</v>
      </c>
      <c r="E130" s="5" t="s">
        <v>45</v>
      </c>
      <c r="F130" s="5" t="s">
        <v>63</v>
      </c>
      <c r="G130" s="7">
        <v>-60145.44</v>
      </c>
      <c r="H130" s="5" t="s">
        <v>47</v>
      </c>
      <c r="I130" s="5" t="str">
        <f>IF(OR(A130="",B130="",C130="",D130="",F130="",G130=""),"ERROR","OK")</f>
        <v>OK</v>
      </c>
      <c r="J130" s="5" t="str">
        <f>IF(COUNTIF($A$2:$A$241,A130)&gt;1,"DUPLICATE","OK")</f>
        <v>OK</v>
      </c>
      <c r="K130" s="5" t="str">
        <f>IF(NOT(ISNUMBER(G130)),"NOT NUMBER",IF(OR(AND(LEFT(F130,1)="4",G130&gt;=0),AND(LEFT(F130,1)&lt;&gt;"4",G130&lt;=0)),"OK","CHECK"))</f>
        <v>OK</v>
      </c>
    </row>
    <row r="131" spans="1:11">
      <c r="A131" s="5" t="s">
        <v>193</v>
      </c>
      <c r="B131" s="5" t="s">
        <v>184</v>
      </c>
      <c r="C131" s="6">
        <v>46142</v>
      </c>
      <c r="D131" s="5" t="s">
        <v>44</v>
      </c>
      <c r="E131" s="5" t="s">
        <v>45</v>
      </c>
      <c r="F131" s="5" t="s">
        <v>65</v>
      </c>
      <c r="G131" s="7">
        <v>-45674.52</v>
      </c>
      <c r="H131" s="5" t="s">
        <v>47</v>
      </c>
      <c r="I131" s="5" t="str">
        <f>IF(OR(A131="",B131="",C131="",D131="",F131="",G131=""),"ERROR","OK")</f>
        <v>OK</v>
      </c>
      <c r="J131" s="5" t="str">
        <f>IF(COUNTIF($A$2:$A$241,A131)&gt;1,"DUPLICATE","OK")</f>
        <v>OK</v>
      </c>
      <c r="K131" s="5" t="str">
        <f>IF(NOT(ISNUMBER(G131)),"NOT NUMBER",IF(OR(AND(LEFT(F131,1)="4",G131&gt;=0),AND(LEFT(F131,1)&lt;&gt;"4",G131&lt;=0)),"OK","CHECK"))</f>
        <v>OK</v>
      </c>
    </row>
    <row r="132" spans="1:11">
      <c r="A132" s="5" t="s">
        <v>194</v>
      </c>
      <c r="B132" s="5" t="s">
        <v>184</v>
      </c>
      <c r="C132" s="6">
        <v>46142</v>
      </c>
      <c r="D132" s="5" t="s">
        <v>67</v>
      </c>
      <c r="E132" s="5" t="s">
        <v>68</v>
      </c>
      <c r="F132" s="5" t="s">
        <v>46</v>
      </c>
      <c r="G132" s="7">
        <v>595647.39</v>
      </c>
      <c r="H132" s="5" t="s">
        <v>47</v>
      </c>
      <c r="I132" s="5" t="str">
        <f>IF(OR(A132="",B132="",C132="",D132="",F132="",G132=""),"ERROR","OK")</f>
        <v>OK</v>
      </c>
      <c r="J132" s="5" t="str">
        <f>IF(COUNTIF($A$2:$A$241,A132)&gt;1,"DUPLICATE","OK")</f>
        <v>OK</v>
      </c>
      <c r="K132" s="5" t="str">
        <f>IF(NOT(ISNUMBER(G132)),"NOT NUMBER",IF(OR(AND(LEFT(F132,1)="4",G132&gt;=0),AND(LEFT(F132,1)&lt;&gt;"4",G132&lt;=0)),"OK","CHECK"))</f>
        <v>OK</v>
      </c>
    </row>
    <row r="133" spans="1:11">
      <c r="A133" s="5" t="s">
        <v>195</v>
      </c>
      <c r="B133" s="5" t="s">
        <v>184</v>
      </c>
      <c r="C133" s="6">
        <v>46142</v>
      </c>
      <c r="D133" s="5" t="s">
        <v>67</v>
      </c>
      <c r="E133" s="5" t="s">
        <v>68</v>
      </c>
      <c r="F133" s="5" t="s">
        <v>49</v>
      </c>
      <c r="G133" s="7">
        <v>304673</v>
      </c>
      <c r="H133" s="5" t="s">
        <v>47</v>
      </c>
      <c r="I133" s="5" t="str">
        <f>IF(OR(A133="",B133="",C133="",D133="",F133="",G133=""),"ERROR","OK")</f>
        <v>OK</v>
      </c>
      <c r="J133" s="5" t="str">
        <f>IF(COUNTIF($A$2:$A$241,A133)&gt;1,"DUPLICATE","OK")</f>
        <v>OK</v>
      </c>
      <c r="K133" s="5" t="str">
        <f>IF(NOT(ISNUMBER(G133)),"NOT NUMBER",IF(OR(AND(LEFT(F133,1)="4",G133&gt;=0),AND(LEFT(F133,1)&lt;&gt;"4",G133&lt;=0)),"OK","CHECK"))</f>
        <v>OK</v>
      </c>
    </row>
    <row r="134" spans="1:11">
      <c r="A134" s="5" t="s">
        <v>196</v>
      </c>
      <c r="B134" s="5" t="s">
        <v>184</v>
      </c>
      <c r="C134" s="6">
        <v>46142</v>
      </c>
      <c r="D134" s="5" t="s">
        <v>67</v>
      </c>
      <c r="E134" s="5" t="s">
        <v>68</v>
      </c>
      <c r="F134" s="5" t="s">
        <v>51</v>
      </c>
      <c r="G134" s="7">
        <v>187049.33</v>
      </c>
      <c r="H134" s="5" t="s">
        <v>47</v>
      </c>
      <c r="I134" s="5" t="str">
        <f>IF(OR(A134="",B134="",C134="",D134="",F134="",G134=""),"ERROR","OK")</f>
        <v>OK</v>
      </c>
      <c r="J134" s="5" t="str">
        <f>IF(COUNTIF($A$2:$A$241,A134)&gt;1,"DUPLICATE","OK")</f>
        <v>OK</v>
      </c>
      <c r="K134" s="5" t="str">
        <f>IF(NOT(ISNUMBER(G134)),"NOT NUMBER",IF(OR(AND(LEFT(F134,1)="4",G134&gt;=0),AND(LEFT(F134,1)&lt;&gt;"4",G134&lt;=0)),"OK","CHECK"))</f>
        <v>OK</v>
      </c>
    </row>
    <row r="135" spans="1:11">
      <c r="A135" s="5" t="s">
        <v>197</v>
      </c>
      <c r="B135" s="5" t="s">
        <v>184</v>
      </c>
      <c r="C135" s="6">
        <v>46142</v>
      </c>
      <c r="D135" s="5" t="s">
        <v>67</v>
      </c>
      <c r="E135" s="5" t="s">
        <v>68</v>
      </c>
      <c r="F135" s="5" t="s">
        <v>53</v>
      </c>
      <c r="G135" s="7">
        <v>-311720.57</v>
      </c>
      <c r="H135" s="5" t="s">
        <v>47</v>
      </c>
      <c r="I135" s="5" t="str">
        <f>IF(OR(A135="",B135="",C135="",D135="",F135="",G135=""),"ERROR","OK")</f>
        <v>OK</v>
      </c>
      <c r="J135" s="5" t="str">
        <f>IF(COUNTIF($A$2:$A$241,A135)&gt;1,"DUPLICATE","OK")</f>
        <v>OK</v>
      </c>
      <c r="K135" s="5" t="str">
        <f>IF(NOT(ISNUMBER(G135)),"NOT NUMBER",IF(OR(AND(LEFT(F135,1)="4",G135&gt;=0),AND(LEFT(F135,1)&lt;&gt;"4",G135&lt;=0)),"OK","CHECK"))</f>
        <v>OK</v>
      </c>
    </row>
    <row r="136" spans="1:11">
      <c r="A136" s="5" t="s">
        <v>198</v>
      </c>
      <c r="B136" s="5" t="s">
        <v>184</v>
      </c>
      <c r="C136" s="6">
        <v>46142</v>
      </c>
      <c r="D136" s="5" t="s">
        <v>67</v>
      </c>
      <c r="E136" s="5" t="s">
        <v>68</v>
      </c>
      <c r="F136" s="5" t="s">
        <v>55</v>
      </c>
      <c r="G136" s="7">
        <v>-94698.91</v>
      </c>
      <c r="H136" s="5" t="s">
        <v>47</v>
      </c>
      <c r="I136" s="5" t="str">
        <f>IF(OR(A136="",B136="",C136="",D136="",F136="",G136=""),"ERROR","OK")</f>
        <v>OK</v>
      </c>
      <c r="J136" s="5" t="str">
        <f>IF(COUNTIF($A$2:$A$241,A136)&gt;1,"DUPLICATE","OK")</f>
        <v>OK</v>
      </c>
      <c r="K136" s="5" t="str">
        <f>IF(NOT(ISNUMBER(G136)),"NOT NUMBER",IF(OR(AND(LEFT(F136,1)="4",G136&gt;=0),AND(LEFT(F136,1)&lt;&gt;"4",G136&lt;=0)),"OK","CHECK"))</f>
        <v>OK</v>
      </c>
    </row>
    <row r="137" spans="1:11">
      <c r="A137" s="5" t="s">
        <v>199</v>
      </c>
      <c r="B137" s="5" t="s">
        <v>184</v>
      </c>
      <c r="C137" s="6">
        <v>46142</v>
      </c>
      <c r="D137" s="5" t="s">
        <v>67</v>
      </c>
      <c r="E137" s="5" t="s">
        <v>68</v>
      </c>
      <c r="F137" s="5" t="s">
        <v>57</v>
      </c>
      <c r="G137" s="7">
        <v>-117053.88</v>
      </c>
      <c r="H137" s="5" t="s">
        <v>47</v>
      </c>
      <c r="I137" s="5" t="str">
        <f>IF(OR(A137="",B137="",C137="",D137="",F137="",G137=""),"ERROR","OK")</f>
        <v>OK</v>
      </c>
      <c r="J137" s="5" t="str">
        <f>IF(COUNTIF($A$2:$A$241,A137)&gt;1,"DUPLICATE","OK")</f>
        <v>OK</v>
      </c>
      <c r="K137" s="5" t="str">
        <f>IF(NOT(ISNUMBER(G137)),"NOT NUMBER",IF(OR(AND(LEFT(F137,1)="4",G137&gt;=0),AND(LEFT(F137,1)&lt;&gt;"4",G137&lt;=0)),"OK","CHECK"))</f>
        <v>OK</v>
      </c>
    </row>
    <row r="138" spans="1:11">
      <c r="A138" s="5" t="s">
        <v>200</v>
      </c>
      <c r="B138" s="5" t="s">
        <v>184</v>
      </c>
      <c r="C138" s="6">
        <v>46142</v>
      </c>
      <c r="D138" s="5" t="s">
        <v>67</v>
      </c>
      <c r="E138" s="5" t="s">
        <v>68</v>
      </c>
      <c r="F138" s="5" t="s">
        <v>59</v>
      </c>
      <c r="G138" s="7">
        <v>-278095.31</v>
      </c>
      <c r="H138" s="5" t="s">
        <v>47</v>
      </c>
      <c r="I138" s="5" t="str">
        <f>IF(OR(A138="",B138="",C138="",D138="",F138="",G138=""),"ERROR","OK")</f>
        <v>OK</v>
      </c>
      <c r="J138" s="5" t="str">
        <f>IF(COUNTIF($A$2:$A$241,A138)&gt;1,"DUPLICATE","OK")</f>
        <v>OK</v>
      </c>
      <c r="K138" s="5" t="str">
        <f>IF(NOT(ISNUMBER(G138)),"NOT NUMBER",IF(OR(AND(LEFT(F138,1)="4",G138&gt;=0),AND(LEFT(F138,1)&lt;&gt;"4",G138&lt;=0)),"OK","CHECK"))</f>
        <v>OK</v>
      </c>
    </row>
    <row r="139" spans="1:11">
      <c r="A139" s="5" t="s">
        <v>201</v>
      </c>
      <c r="B139" s="5" t="s">
        <v>184</v>
      </c>
      <c r="C139" s="6">
        <v>46142</v>
      </c>
      <c r="D139" s="5" t="s">
        <v>67</v>
      </c>
      <c r="E139" s="5" t="s">
        <v>68</v>
      </c>
      <c r="F139" s="5" t="s">
        <v>61</v>
      </c>
      <c r="G139" s="7">
        <v>-53645.08</v>
      </c>
      <c r="H139" s="5" t="s">
        <v>47</v>
      </c>
      <c r="I139" s="5" t="str">
        <f>IF(OR(A139="",B139="",C139="",D139="",F139="",G139=""),"ERROR","OK")</f>
        <v>OK</v>
      </c>
      <c r="J139" s="5" t="str">
        <f>IF(COUNTIF($A$2:$A$241,A139)&gt;1,"DUPLICATE","OK")</f>
        <v>OK</v>
      </c>
      <c r="K139" s="5" t="str">
        <f>IF(NOT(ISNUMBER(G139)),"NOT NUMBER",IF(OR(AND(LEFT(F139,1)="4",G139&gt;=0),AND(LEFT(F139,1)&lt;&gt;"4",G139&lt;=0)),"OK","CHECK"))</f>
        <v>OK</v>
      </c>
    </row>
    <row r="140" spans="1:11">
      <c r="A140" s="5" t="s">
        <v>202</v>
      </c>
      <c r="B140" s="5" t="s">
        <v>184</v>
      </c>
      <c r="C140" s="6">
        <v>46142</v>
      </c>
      <c r="D140" s="5" t="s">
        <v>67</v>
      </c>
      <c r="E140" s="5" t="s">
        <v>68</v>
      </c>
      <c r="F140" s="5" t="s">
        <v>63</v>
      </c>
      <c r="G140" s="7">
        <v>-45184.03</v>
      </c>
      <c r="H140" s="5" t="s">
        <v>47</v>
      </c>
      <c r="I140" s="5" t="str">
        <f>IF(OR(A140="",B140="",C140="",D140="",F140="",G140=""),"ERROR","OK")</f>
        <v>OK</v>
      </c>
      <c r="J140" s="5" t="str">
        <f>IF(COUNTIF($A$2:$A$241,A140)&gt;1,"DUPLICATE","OK")</f>
        <v>OK</v>
      </c>
      <c r="K140" s="5" t="str">
        <f>IF(NOT(ISNUMBER(G140)),"NOT NUMBER",IF(OR(AND(LEFT(F140,1)="4",G140&gt;=0),AND(LEFT(F140,1)&lt;&gt;"4",G140&lt;=0)),"OK","CHECK"))</f>
        <v>OK</v>
      </c>
    </row>
    <row r="141" spans="1:11">
      <c r="A141" s="5" t="s">
        <v>203</v>
      </c>
      <c r="B141" s="5" t="s">
        <v>184</v>
      </c>
      <c r="C141" s="6">
        <v>46142</v>
      </c>
      <c r="D141" s="5" t="s">
        <v>67</v>
      </c>
      <c r="E141" s="5" t="s">
        <v>68</v>
      </c>
      <c r="F141" s="5" t="s">
        <v>65</v>
      </c>
      <c r="G141" s="7">
        <v>-31527.08</v>
      </c>
      <c r="H141" s="5" t="s">
        <v>47</v>
      </c>
      <c r="I141" s="5" t="str">
        <f>IF(OR(A141="",B141="",C141="",D141="",F141="",G141=""),"ERROR","OK")</f>
        <v>OK</v>
      </c>
      <c r="J141" s="5" t="str">
        <f>IF(COUNTIF($A$2:$A$241,A141)&gt;1,"DUPLICATE","OK")</f>
        <v>OK</v>
      </c>
      <c r="K141" s="5" t="str">
        <f>IF(NOT(ISNUMBER(G141)),"NOT NUMBER",IF(OR(AND(LEFT(F141,1)="4",G141&gt;=0),AND(LEFT(F141,1)&lt;&gt;"4",G141&lt;=0)),"OK","CHECK"))</f>
        <v>OK</v>
      </c>
    </row>
    <row r="142" spans="1:11">
      <c r="A142" s="5" t="s">
        <v>204</v>
      </c>
      <c r="B142" s="5" t="s">
        <v>184</v>
      </c>
      <c r="C142" s="6">
        <v>46142</v>
      </c>
      <c r="D142" s="5" t="s">
        <v>79</v>
      </c>
      <c r="E142" s="5" t="s">
        <v>45</v>
      </c>
      <c r="F142" s="5" t="s">
        <v>46</v>
      </c>
      <c r="G142" s="7">
        <v>1009832.75</v>
      </c>
      <c r="H142" s="5" t="s">
        <v>47</v>
      </c>
      <c r="I142" s="5" t="str">
        <f>IF(OR(A142="",B142="",C142="",D142="",F142="",G142=""),"ERROR","OK")</f>
        <v>OK</v>
      </c>
      <c r="J142" s="5" t="str">
        <f>IF(COUNTIF($A$2:$A$241,A142)&gt;1,"DUPLICATE","OK")</f>
        <v>OK</v>
      </c>
      <c r="K142" s="5" t="str">
        <f>IF(NOT(ISNUMBER(G142)),"NOT NUMBER",IF(OR(AND(LEFT(F142,1)="4",G142&gt;=0),AND(LEFT(F142,1)&lt;&gt;"4",G142&lt;=0)),"OK","CHECK"))</f>
        <v>OK</v>
      </c>
    </row>
    <row r="143" spans="1:11">
      <c r="A143" s="5" t="s">
        <v>205</v>
      </c>
      <c r="B143" s="5" t="s">
        <v>184</v>
      </c>
      <c r="C143" s="6">
        <v>46142</v>
      </c>
      <c r="D143" s="5" t="s">
        <v>79</v>
      </c>
      <c r="E143" s="5" t="s">
        <v>45</v>
      </c>
      <c r="F143" s="5" t="s">
        <v>49</v>
      </c>
      <c r="G143" s="7">
        <v>509802.59</v>
      </c>
      <c r="H143" s="5" t="s">
        <v>47</v>
      </c>
      <c r="I143" s="5" t="str">
        <f>IF(OR(A143="",B143="",C143="",D143="",F143="",G143=""),"ERROR","OK")</f>
        <v>OK</v>
      </c>
      <c r="J143" s="5" t="str">
        <f>IF(COUNTIF($A$2:$A$241,A143)&gt;1,"DUPLICATE","OK")</f>
        <v>OK</v>
      </c>
      <c r="K143" s="5" t="str">
        <f>IF(NOT(ISNUMBER(G143)),"NOT NUMBER",IF(OR(AND(LEFT(F143,1)="4",G143&gt;=0),AND(LEFT(F143,1)&lt;&gt;"4",G143&lt;=0)),"OK","CHECK"))</f>
        <v>OK</v>
      </c>
    </row>
    <row r="144" spans="1:11">
      <c r="A144" s="5" t="s">
        <v>206</v>
      </c>
      <c r="B144" s="5" t="s">
        <v>184</v>
      </c>
      <c r="C144" s="6">
        <v>46142</v>
      </c>
      <c r="D144" s="5" t="s">
        <v>79</v>
      </c>
      <c r="E144" s="5" t="s">
        <v>45</v>
      </c>
      <c r="F144" s="5" t="s">
        <v>51</v>
      </c>
      <c r="G144" s="7">
        <v>307611.9</v>
      </c>
      <c r="H144" s="5" t="s">
        <v>47</v>
      </c>
      <c r="I144" s="5" t="str">
        <f>IF(OR(A144="",B144="",C144="",D144="",F144="",G144=""),"ERROR","OK")</f>
        <v>OK</v>
      </c>
      <c r="J144" s="5" t="str">
        <f>IF(COUNTIF($A$2:$A$241,A144)&gt;1,"DUPLICATE","OK")</f>
        <v>OK</v>
      </c>
      <c r="K144" s="5" t="str">
        <f>IF(NOT(ISNUMBER(G144)),"NOT NUMBER",IF(OR(AND(LEFT(F144,1)="4",G144&gt;=0),AND(LEFT(F144,1)&lt;&gt;"4",G144&lt;=0)),"OK","CHECK"))</f>
        <v>OK</v>
      </c>
    </row>
    <row r="145" spans="1:11">
      <c r="A145" s="5" t="s">
        <v>207</v>
      </c>
      <c r="B145" s="5" t="s">
        <v>184</v>
      </c>
      <c r="C145" s="6">
        <v>46142</v>
      </c>
      <c r="D145" s="5" t="s">
        <v>79</v>
      </c>
      <c r="E145" s="5" t="s">
        <v>45</v>
      </c>
      <c r="F145" s="5" t="s">
        <v>53</v>
      </c>
      <c r="G145" s="7">
        <v>-512304.78</v>
      </c>
      <c r="H145" s="5" t="s">
        <v>47</v>
      </c>
      <c r="I145" s="5" t="str">
        <f>IF(OR(A145="",B145="",C145="",D145="",F145="",G145=""),"ERROR","OK")</f>
        <v>OK</v>
      </c>
      <c r="J145" s="5" t="str">
        <f>IF(COUNTIF($A$2:$A$241,A145)&gt;1,"DUPLICATE","OK")</f>
        <v>OK</v>
      </c>
      <c r="K145" s="5" t="str">
        <f>IF(NOT(ISNUMBER(G145)),"NOT NUMBER",IF(OR(AND(LEFT(F145,1)="4",G145&gt;=0),AND(LEFT(F145,1)&lt;&gt;"4",G145&lt;=0)),"OK","CHECK"))</f>
        <v>OK</v>
      </c>
    </row>
    <row r="146" spans="1:11">
      <c r="A146" s="5" t="s">
        <v>208</v>
      </c>
      <c r="B146" s="5" t="s">
        <v>184</v>
      </c>
      <c r="C146" s="6">
        <v>46142</v>
      </c>
      <c r="D146" s="5" t="s">
        <v>79</v>
      </c>
      <c r="E146" s="5" t="s">
        <v>45</v>
      </c>
      <c r="F146" s="5" t="s">
        <v>55</v>
      </c>
      <c r="G146" s="7">
        <v>-157636.01</v>
      </c>
      <c r="H146" s="5" t="s">
        <v>47</v>
      </c>
      <c r="I146" s="5" t="str">
        <f>IF(OR(A146="",B146="",C146="",D146="",F146="",G146=""),"ERROR","OK")</f>
        <v>OK</v>
      </c>
      <c r="J146" s="5" t="str">
        <f>IF(COUNTIF($A$2:$A$241,A146)&gt;1,"DUPLICATE","OK")</f>
        <v>OK</v>
      </c>
      <c r="K146" s="5" t="str">
        <f>IF(NOT(ISNUMBER(G146)),"NOT NUMBER",IF(OR(AND(LEFT(F146,1)="4",G146&gt;=0),AND(LEFT(F146,1)&lt;&gt;"4",G146&lt;=0)),"OK","CHECK"))</f>
        <v>OK</v>
      </c>
    </row>
    <row r="147" spans="1:11">
      <c r="A147" s="5" t="s">
        <v>209</v>
      </c>
      <c r="B147" s="5" t="s">
        <v>184</v>
      </c>
      <c r="C147" s="6">
        <v>46142</v>
      </c>
      <c r="D147" s="5" t="s">
        <v>79</v>
      </c>
      <c r="E147" s="5" t="s">
        <v>45</v>
      </c>
      <c r="F147" s="5" t="s">
        <v>57</v>
      </c>
      <c r="G147" s="7">
        <v>-192132.08</v>
      </c>
      <c r="H147" s="5" t="s">
        <v>47</v>
      </c>
      <c r="I147" s="5" t="str">
        <f>IF(OR(A147="",B147="",C147="",D147="",F147="",G147=""),"ERROR","OK")</f>
        <v>OK</v>
      </c>
      <c r="J147" s="5" t="str">
        <f>IF(COUNTIF($A$2:$A$241,A147)&gt;1,"DUPLICATE","OK")</f>
        <v>OK</v>
      </c>
      <c r="K147" s="5" t="str">
        <f>IF(NOT(ISNUMBER(G147)),"NOT NUMBER",IF(OR(AND(LEFT(F147,1)="4",G147&gt;=0),AND(LEFT(F147,1)&lt;&gt;"4",G147&lt;=0)),"OK","CHECK"))</f>
        <v>OK</v>
      </c>
    </row>
    <row r="148" spans="1:11">
      <c r="A148" s="5" t="s">
        <v>210</v>
      </c>
      <c r="B148" s="5" t="s">
        <v>184</v>
      </c>
      <c r="C148" s="6">
        <v>46142</v>
      </c>
      <c r="D148" s="5" t="s">
        <v>79</v>
      </c>
      <c r="E148" s="5" t="s">
        <v>45</v>
      </c>
      <c r="F148" s="5" t="s">
        <v>59</v>
      </c>
      <c r="G148" s="7">
        <v>-447364.2</v>
      </c>
      <c r="H148" s="5" t="s">
        <v>47</v>
      </c>
      <c r="I148" s="5" t="str">
        <f>IF(OR(A148="",B148="",C148="",D148="",F148="",G148=""),"ERROR","OK")</f>
        <v>OK</v>
      </c>
      <c r="J148" s="5" t="str">
        <f>IF(COUNTIF($A$2:$A$241,A148)&gt;1,"DUPLICATE","OK")</f>
        <v>OK</v>
      </c>
      <c r="K148" s="5" t="str">
        <f>IF(NOT(ISNUMBER(G148)),"NOT NUMBER",IF(OR(AND(LEFT(F148,1)="4",G148&gt;=0),AND(LEFT(F148,1)&lt;&gt;"4",G148&lt;=0)),"OK","CHECK"))</f>
        <v>OK</v>
      </c>
    </row>
    <row r="149" spans="1:11">
      <c r="A149" s="5" t="s">
        <v>211</v>
      </c>
      <c r="B149" s="5" t="s">
        <v>184</v>
      </c>
      <c r="C149" s="6">
        <v>46142</v>
      </c>
      <c r="D149" s="5" t="s">
        <v>79</v>
      </c>
      <c r="E149" s="5" t="s">
        <v>45</v>
      </c>
      <c r="F149" s="5" t="s">
        <v>61</v>
      </c>
      <c r="G149" s="7">
        <v>-92950.7</v>
      </c>
      <c r="H149" s="5" t="s">
        <v>47</v>
      </c>
      <c r="I149" s="5" t="str">
        <f>IF(OR(A149="",B149="",C149="",D149="",F149="",G149=""),"ERROR","OK")</f>
        <v>OK</v>
      </c>
      <c r="J149" s="5" t="str">
        <f>IF(COUNTIF($A$2:$A$241,A149)&gt;1,"DUPLICATE","OK")</f>
        <v>OK</v>
      </c>
      <c r="K149" s="5" t="str">
        <f>IF(NOT(ISNUMBER(G149)),"NOT NUMBER",IF(OR(AND(LEFT(F149,1)="4",G149&gt;=0),AND(LEFT(F149,1)&lt;&gt;"4",G149&lt;=0)),"OK","CHECK"))</f>
        <v>OK</v>
      </c>
    </row>
    <row r="150" spans="1:11">
      <c r="A150" s="5" t="s">
        <v>212</v>
      </c>
      <c r="B150" s="5" t="s">
        <v>184</v>
      </c>
      <c r="C150" s="6">
        <v>46142</v>
      </c>
      <c r="D150" s="5" t="s">
        <v>79</v>
      </c>
      <c r="E150" s="5" t="s">
        <v>45</v>
      </c>
      <c r="F150" s="5" t="s">
        <v>63</v>
      </c>
      <c r="G150" s="7">
        <v>-74254.10000000001</v>
      </c>
      <c r="H150" s="5" t="s">
        <v>47</v>
      </c>
      <c r="I150" s="5" t="str">
        <f>IF(OR(A150="",B150="",C150="",D150="",F150="",G150=""),"ERROR","OK")</f>
        <v>OK</v>
      </c>
      <c r="J150" s="5" t="str">
        <f>IF(COUNTIF($A$2:$A$241,A150)&gt;1,"DUPLICATE","OK")</f>
        <v>OK</v>
      </c>
      <c r="K150" s="5" t="str">
        <f>IF(NOT(ISNUMBER(G150)),"NOT NUMBER",IF(OR(AND(LEFT(F150,1)="4",G150&gt;=0),AND(LEFT(F150,1)&lt;&gt;"4",G150&lt;=0)),"OK","CHECK"))</f>
        <v>OK</v>
      </c>
    </row>
    <row r="151" spans="1:11">
      <c r="A151" s="5" t="s">
        <v>213</v>
      </c>
      <c r="B151" s="5" t="s">
        <v>184</v>
      </c>
      <c r="C151" s="6">
        <v>46142</v>
      </c>
      <c r="D151" s="5" t="s">
        <v>79</v>
      </c>
      <c r="E151" s="5" t="s">
        <v>45</v>
      </c>
      <c r="F151" s="5" t="s">
        <v>65</v>
      </c>
      <c r="G151" s="7">
        <v>-56281.52</v>
      </c>
      <c r="H151" s="5" t="s">
        <v>47</v>
      </c>
      <c r="I151" s="5" t="str">
        <f>IF(OR(A151="",B151="",C151="",D151="",F151="",G151=""),"ERROR","OK")</f>
        <v>OK</v>
      </c>
      <c r="J151" s="5" t="str">
        <f>IF(COUNTIF($A$2:$A$241,A151)&gt;1,"DUPLICATE","OK")</f>
        <v>OK</v>
      </c>
      <c r="K151" s="5" t="str">
        <f>IF(NOT(ISNUMBER(G151)),"NOT NUMBER",IF(OR(AND(LEFT(F151,1)="4",G151&gt;=0),AND(LEFT(F151,1)&lt;&gt;"4",G151&lt;=0)),"OK","CHECK"))</f>
        <v>OK</v>
      </c>
    </row>
    <row r="152" spans="1:11">
      <c r="A152" s="5" t="s">
        <v>214</v>
      </c>
      <c r="B152" s="5" t="s">
        <v>184</v>
      </c>
      <c r="C152" s="6">
        <v>46142</v>
      </c>
      <c r="D152" s="5" t="s">
        <v>90</v>
      </c>
      <c r="E152" s="5" t="s">
        <v>91</v>
      </c>
      <c r="F152" s="5" t="s">
        <v>46</v>
      </c>
      <c r="G152" s="7">
        <v>356430.68</v>
      </c>
      <c r="H152" s="5" t="s">
        <v>47</v>
      </c>
      <c r="I152" s="5" t="str">
        <f>IF(OR(A152="",B152="",C152="",D152="",F152="",G152=""),"ERROR","OK")</f>
        <v>OK</v>
      </c>
      <c r="J152" s="5" t="str">
        <f>IF(COUNTIF($A$2:$A$241,A152)&gt;1,"DUPLICATE","OK")</f>
        <v>OK</v>
      </c>
      <c r="K152" s="5" t="str">
        <f>IF(NOT(ISNUMBER(G152)),"NOT NUMBER",IF(OR(AND(LEFT(F152,1)="4",G152&gt;=0),AND(LEFT(F152,1)&lt;&gt;"4",G152&lt;=0)),"OK","CHECK"))</f>
        <v>OK</v>
      </c>
    </row>
    <row r="153" spans="1:11">
      <c r="A153" s="5" t="s">
        <v>215</v>
      </c>
      <c r="B153" s="5" t="s">
        <v>184</v>
      </c>
      <c r="C153" s="6">
        <v>46142</v>
      </c>
      <c r="D153" s="5" t="s">
        <v>90</v>
      </c>
      <c r="E153" s="5" t="s">
        <v>91</v>
      </c>
      <c r="F153" s="5" t="s">
        <v>49</v>
      </c>
      <c r="G153" s="7">
        <v>186697.4</v>
      </c>
      <c r="H153" s="5" t="s">
        <v>47</v>
      </c>
      <c r="I153" s="5" t="str">
        <f>IF(OR(A153="",B153="",C153="",D153="",F153="",G153=""),"ERROR","OK")</f>
        <v>OK</v>
      </c>
      <c r="J153" s="5" t="str">
        <f>IF(COUNTIF($A$2:$A$241,A153)&gt;1,"DUPLICATE","OK")</f>
        <v>OK</v>
      </c>
      <c r="K153" s="5" t="str">
        <f>IF(NOT(ISNUMBER(G153)),"NOT NUMBER",IF(OR(AND(LEFT(F153,1)="4",G153&gt;=0),AND(LEFT(F153,1)&lt;&gt;"4",G153&lt;=0)),"OK","CHECK"))</f>
        <v>OK</v>
      </c>
    </row>
    <row r="154" spans="1:11">
      <c r="A154" s="5" t="s">
        <v>216</v>
      </c>
      <c r="B154" s="5" t="s">
        <v>184</v>
      </c>
      <c r="C154" s="6">
        <v>46142</v>
      </c>
      <c r="D154" s="5" t="s">
        <v>90</v>
      </c>
      <c r="E154" s="5" t="s">
        <v>91</v>
      </c>
      <c r="F154" s="5" t="s">
        <v>51</v>
      </c>
      <c r="G154" s="7">
        <v>112745.2</v>
      </c>
      <c r="H154" s="5" t="s">
        <v>47</v>
      </c>
      <c r="I154" s="5" t="str">
        <f>IF(OR(A154="",B154="",C154="",D154="",F154="",G154=""),"ERROR","OK")</f>
        <v>OK</v>
      </c>
      <c r="J154" s="5" t="str">
        <f>IF(COUNTIF($A$2:$A$241,A154)&gt;1,"DUPLICATE","OK")</f>
        <v>OK</v>
      </c>
      <c r="K154" s="5" t="str">
        <f>IF(NOT(ISNUMBER(G154)),"NOT NUMBER",IF(OR(AND(LEFT(F154,1)="4",G154&gt;=0),AND(LEFT(F154,1)&lt;&gt;"4",G154&lt;=0)),"OK","CHECK"))</f>
        <v>OK</v>
      </c>
    </row>
    <row r="155" spans="1:11">
      <c r="A155" s="5" t="s">
        <v>217</v>
      </c>
      <c r="B155" s="5" t="s">
        <v>184</v>
      </c>
      <c r="C155" s="6">
        <v>46142</v>
      </c>
      <c r="D155" s="5" t="s">
        <v>90</v>
      </c>
      <c r="E155" s="5" t="s">
        <v>91</v>
      </c>
      <c r="F155" s="5" t="s">
        <v>53</v>
      </c>
      <c r="G155" s="7">
        <v>-176965.49</v>
      </c>
      <c r="H155" s="5" t="s">
        <v>47</v>
      </c>
      <c r="I155" s="5" t="str">
        <f>IF(OR(A155="",B155="",C155="",D155="",F155="",G155=""),"ERROR","OK")</f>
        <v>OK</v>
      </c>
      <c r="J155" s="5" t="str">
        <f>IF(COUNTIF($A$2:$A$241,A155)&gt;1,"DUPLICATE","OK")</f>
        <v>OK</v>
      </c>
      <c r="K155" s="5" t="str">
        <f>IF(NOT(ISNUMBER(G155)),"NOT NUMBER",IF(OR(AND(LEFT(F155,1)="4",G155&gt;=0),AND(LEFT(F155,1)&lt;&gt;"4",G155&lt;=0)),"OK","CHECK"))</f>
        <v>OK</v>
      </c>
    </row>
    <row r="156" spans="1:11">
      <c r="A156" s="5" t="s">
        <v>218</v>
      </c>
      <c r="B156" s="5" t="s">
        <v>184</v>
      </c>
      <c r="C156" s="6">
        <v>46142</v>
      </c>
      <c r="D156" s="5" t="s">
        <v>90</v>
      </c>
      <c r="E156" s="5" t="s">
        <v>91</v>
      </c>
      <c r="F156" s="5" t="s">
        <v>55</v>
      </c>
      <c r="G156" s="7">
        <v>-57133.48</v>
      </c>
      <c r="H156" s="5" t="s">
        <v>47</v>
      </c>
      <c r="I156" s="5" t="str">
        <f>IF(OR(A156="",B156="",C156="",D156="",F156="",G156=""),"ERROR","OK")</f>
        <v>OK</v>
      </c>
      <c r="J156" s="5" t="str">
        <f>IF(COUNTIF($A$2:$A$241,A156)&gt;1,"DUPLICATE","OK")</f>
        <v>OK</v>
      </c>
      <c r="K156" s="5" t="str">
        <f>IF(NOT(ISNUMBER(G156)),"NOT NUMBER",IF(OR(AND(LEFT(F156,1)="4",G156&gt;=0),AND(LEFT(F156,1)&lt;&gt;"4",G156&lt;=0)),"OK","CHECK"))</f>
        <v>OK</v>
      </c>
    </row>
    <row r="157" spans="1:11">
      <c r="A157" s="5" t="s">
        <v>219</v>
      </c>
      <c r="B157" s="5" t="s">
        <v>184</v>
      </c>
      <c r="C157" s="6">
        <v>46142</v>
      </c>
      <c r="D157" s="5" t="s">
        <v>90</v>
      </c>
      <c r="E157" s="5" t="s">
        <v>91</v>
      </c>
      <c r="F157" s="5" t="s">
        <v>57</v>
      </c>
      <c r="G157" s="7">
        <v>-72838.94</v>
      </c>
      <c r="H157" s="5" t="s">
        <v>47</v>
      </c>
      <c r="I157" s="5" t="str">
        <f>IF(OR(A157="",B157="",C157="",D157="",F157="",G157=""),"ERROR","OK")</f>
        <v>OK</v>
      </c>
      <c r="J157" s="5" t="str">
        <f>IF(COUNTIF($A$2:$A$241,A157)&gt;1,"DUPLICATE","OK")</f>
        <v>OK</v>
      </c>
      <c r="K157" s="5" t="str">
        <f>IF(NOT(ISNUMBER(G157)),"NOT NUMBER",IF(OR(AND(LEFT(F157,1)="4",G157&gt;=0),AND(LEFT(F157,1)&lt;&gt;"4",G157&lt;=0)),"OK","CHECK"))</f>
        <v>OK</v>
      </c>
    </row>
    <row r="158" spans="1:11">
      <c r="A158" s="5" t="s">
        <v>220</v>
      </c>
      <c r="B158" s="5" t="s">
        <v>184</v>
      </c>
      <c r="C158" s="6">
        <v>46142</v>
      </c>
      <c r="D158" s="5" t="s">
        <v>90</v>
      </c>
      <c r="E158" s="5" t="s">
        <v>91</v>
      </c>
      <c r="F158" s="5" t="s">
        <v>59</v>
      </c>
      <c r="G158" s="7">
        <v>-165511.64</v>
      </c>
      <c r="H158" s="5" t="s">
        <v>47</v>
      </c>
      <c r="I158" s="5" t="str">
        <f>IF(OR(A158="",B158="",C158="",D158="",F158="",G158=""),"ERROR","OK")</f>
        <v>OK</v>
      </c>
      <c r="J158" s="5" t="str">
        <f>IF(COUNTIF($A$2:$A$241,A158)&gt;1,"DUPLICATE","OK")</f>
        <v>OK</v>
      </c>
      <c r="K158" s="5" t="str">
        <f>IF(NOT(ISNUMBER(G158)),"NOT NUMBER",IF(OR(AND(LEFT(F158,1)="4",G158&gt;=0),AND(LEFT(F158,1)&lt;&gt;"4",G158&lt;=0)),"OK","CHECK"))</f>
        <v>OK</v>
      </c>
    </row>
    <row r="159" spans="1:11">
      <c r="A159" s="5" t="s">
        <v>221</v>
      </c>
      <c r="B159" s="5" t="s">
        <v>184</v>
      </c>
      <c r="C159" s="6">
        <v>46142</v>
      </c>
      <c r="D159" s="5" t="s">
        <v>90</v>
      </c>
      <c r="E159" s="5" t="s">
        <v>91</v>
      </c>
      <c r="F159" s="5" t="s">
        <v>61</v>
      </c>
      <c r="G159" s="7">
        <v>-34460.15</v>
      </c>
      <c r="H159" s="5" t="s">
        <v>47</v>
      </c>
      <c r="I159" s="5" t="str">
        <f>IF(OR(A159="",B159="",C159="",D159="",F159="",G159=""),"ERROR","OK")</f>
        <v>OK</v>
      </c>
      <c r="J159" s="5" t="str">
        <f>IF(COUNTIF($A$2:$A$241,A159)&gt;1,"DUPLICATE","OK")</f>
        <v>OK</v>
      </c>
      <c r="K159" s="5" t="str">
        <f>IF(NOT(ISNUMBER(G159)),"NOT NUMBER",IF(OR(AND(LEFT(F159,1)="4",G159&gt;=0),AND(LEFT(F159,1)&lt;&gt;"4",G159&lt;=0)),"OK","CHECK"))</f>
        <v>OK</v>
      </c>
    </row>
    <row r="160" spans="1:11">
      <c r="A160" s="5" t="s">
        <v>222</v>
      </c>
      <c r="B160" s="5" t="s">
        <v>184</v>
      </c>
      <c r="C160" s="6">
        <v>46142</v>
      </c>
      <c r="D160" s="5" t="s">
        <v>90</v>
      </c>
      <c r="E160" s="5" t="s">
        <v>91</v>
      </c>
      <c r="F160" s="5" t="s">
        <v>63</v>
      </c>
      <c r="G160" s="7">
        <v>-25880.89</v>
      </c>
      <c r="H160" s="5" t="s">
        <v>47</v>
      </c>
      <c r="I160" s="5" t="str">
        <f>IF(OR(A160="",B160="",C160="",D160="",F160="",G160=""),"ERROR","OK")</f>
        <v>OK</v>
      </c>
      <c r="J160" s="5" t="str">
        <f>IF(COUNTIF($A$2:$A$241,A160)&gt;1,"DUPLICATE","OK")</f>
        <v>OK</v>
      </c>
      <c r="K160" s="5" t="str">
        <f>IF(NOT(ISNUMBER(G160)),"NOT NUMBER",IF(OR(AND(LEFT(F160,1)="4",G160&gt;=0),AND(LEFT(F160,1)&lt;&gt;"4",G160&lt;=0)),"OK","CHECK"))</f>
        <v>OK</v>
      </c>
    </row>
    <row r="161" spans="1:11">
      <c r="A161" s="5" t="s">
        <v>223</v>
      </c>
      <c r="B161" s="5" t="s">
        <v>184</v>
      </c>
      <c r="C161" s="6">
        <v>46142</v>
      </c>
      <c r="D161" s="5" t="s">
        <v>90</v>
      </c>
      <c r="E161" s="5" t="s">
        <v>91</v>
      </c>
      <c r="F161" s="5" t="s">
        <v>65</v>
      </c>
      <c r="G161" s="7">
        <v>-20347.5</v>
      </c>
      <c r="H161" s="5" t="s">
        <v>47</v>
      </c>
      <c r="I161" s="5" t="str">
        <f>IF(OR(A161="",B161="",C161="",D161="",F161="",G161=""),"ERROR","OK")</f>
        <v>OK</v>
      </c>
      <c r="J161" s="5" t="str">
        <f>IF(COUNTIF($A$2:$A$241,A161)&gt;1,"DUPLICATE","OK")</f>
        <v>OK</v>
      </c>
      <c r="K161" s="5" t="str">
        <f>IF(NOT(ISNUMBER(G161)),"NOT NUMBER",IF(OR(AND(LEFT(F161,1)="4",G161&gt;=0),AND(LEFT(F161,1)&lt;&gt;"4",G161&lt;=0)),"OK","CHECK"))</f>
        <v>OK</v>
      </c>
    </row>
    <row r="162" spans="1:11">
      <c r="A162" s="5" t="s">
        <v>224</v>
      </c>
      <c r="B162" s="5" t="s">
        <v>225</v>
      </c>
      <c r="C162" s="6">
        <v>46173</v>
      </c>
      <c r="D162" s="5" t="s">
        <v>44</v>
      </c>
      <c r="E162" s="5" t="s">
        <v>45</v>
      </c>
      <c r="F162" s="5" t="s">
        <v>46</v>
      </c>
      <c r="G162" s="7">
        <v>849294.99</v>
      </c>
      <c r="H162" s="5" t="s">
        <v>47</v>
      </c>
      <c r="I162" s="5" t="str">
        <f>IF(OR(A162="",B162="",C162="",D162="",F162="",G162=""),"ERROR","OK")</f>
        <v>OK</v>
      </c>
      <c r="J162" s="5" t="str">
        <f>IF(COUNTIF($A$2:$A$241,A162)&gt;1,"DUPLICATE","OK")</f>
        <v>OK</v>
      </c>
      <c r="K162" s="5" t="str">
        <f>IF(NOT(ISNUMBER(G162)),"NOT NUMBER",IF(OR(AND(LEFT(F162,1)="4",G162&gt;=0),AND(LEFT(F162,1)&lt;&gt;"4",G162&lt;=0)),"OK","CHECK"))</f>
        <v>OK</v>
      </c>
    </row>
    <row r="163" spans="1:11">
      <c r="A163" s="5" t="s">
        <v>226</v>
      </c>
      <c r="B163" s="5" t="s">
        <v>225</v>
      </c>
      <c r="C163" s="6">
        <v>46173</v>
      </c>
      <c r="D163" s="5" t="s">
        <v>44</v>
      </c>
      <c r="E163" s="5" t="s">
        <v>45</v>
      </c>
      <c r="F163" s="5" t="s">
        <v>49</v>
      </c>
      <c r="G163" s="7">
        <v>427382.19</v>
      </c>
      <c r="H163" s="5" t="s">
        <v>47</v>
      </c>
      <c r="I163" s="5" t="str">
        <f>IF(OR(A163="",B163="",C163="",D163="",F163="",G163=""),"ERROR","OK")</f>
        <v>OK</v>
      </c>
      <c r="J163" s="5" t="str">
        <f>IF(COUNTIF($A$2:$A$241,A163)&gt;1,"DUPLICATE","OK")</f>
        <v>OK</v>
      </c>
      <c r="K163" s="5" t="str">
        <f>IF(NOT(ISNUMBER(G163)),"NOT NUMBER",IF(OR(AND(LEFT(F163,1)="4",G163&gt;=0),AND(LEFT(F163,1)&lt;&gt;"4",G163&lt;=0)),"OK","CHECK"))</f>
        <v>OK</v>
      </c>
    </row>
    <row r="164" spans="1:11">
      <c r="A164" s="5" t="s">
        <v>227</v>
      </c>
      <c r="B164" s="5" t="s">
        <v>225</v>
      </c>
      <c r="C164" s="6">
        <v>46173</v>
      </c>
      <c r="D164" s="5" t="s">
        <v>44</v>
      </c>
      <c r="E164" s="5" t="s">
        <v>45</v>
      </c>
      <c r="F164" s="5" t="s">
        <v>51</v>
      </c>
      <c r="G164" s="7">
        <v>259690.05</v>
      </c>
      <c r="H164" s="5" t="s">
        <v>47</v>
      </c>
      <c r="I164" s="5" t="str">
        <f>IF(OR(A164="",B164="",C164="",D164="",F164="",G164=""),"ERROR","OK")</f>
        <v>OK</v>
      </c>
      <c r="J164" s="5" t="str">
        <f>IF(COUNTIF($A$2:$A$241,A164)&gt;1,"DUPLICATE","OK")</f>
        <v>OK</v>
      </c>
      <c r="K164" s="5" t="str">
        <f>IF(NOT(ISNUMBER(G164)),"NOT NUMBER",IF(OR(AND(LEFT(F164,1)="4",G164&gt;=0),AND(LEFT(F164,1)&lt;&gt;"4",G164&lt;=0)),"OK","CHECK"))</f>
        <v>OK</v>
      </c>
    </row>
    <row r="165" spans="1:11">
      <c r="A165" s="5" t="s">
        <v>228</v>
      </c>
      <c r="B165" s="5" t="s">
        <v>225</v>
      </c>
      <c r="C165" s="6">
        <v>46173</v>
      </c>
      <c r="D165" s="5" t="s">
        <v>44</v>
      </c>
      <c r="E165" s="5" t="s">
        <v>45</v>
      </c>
      <c r="F165" s="5" t="s">
        <v>53</v>
      </c>
      <c r="G165" s="7">
        <v>-427528.06</v>
      </c>
      <c r="H165" s="5" t="s">
        <v>47</v>
      </c>
      <c r="I165" s="5" t="str">
        <f>IF(OR(A165="",B165="",C165="",D165="",F165="",G165=""),"ERROR","OK")</f>
        <v>OK</v>
      </c>
      <c r="J165" s="5" t="str">
        <f>IF(COUNTIF($A$2:$A$241,A165)&gt;1,"DUPLICATE","OK")</f>
        <v>OK</v>
      </c>
      <c r="K165" s="5" t="str">
        <f>IF(NOT(ISNUMBER(G165)),"NOT NUMBER",IF(OR(AND(LEFT(F165,1)="4",G165&gt;=0),AND(LEFT(F165,1)&lt;&gt;"4",G165&lt;=0)),"OK","CHECK"))</f>
        <v>OK</v>
      </c>
    </row>
    <row r="166" spans="1:11">
      <c r="A166" s="5" t="s">
        <v>229</v>
      </c>
      <c r="B166" s="5" t="s">
        <v>225</v>
      </c>
      <c r="C166" s="6">
        <v>46173</v>
      </c>
      <c r="D166" s="5" t="s">
        <v>44</v>
      </c>
      <c r="E166" s="5" t="s">
        <v>45</v>
      </c>
      <c r="F166" s="5" t="s">
        <v>55</v>
      </c>
      <c r="G166" s="7">
        <v>-147470.19</v>
      </c>
      <c r="H166" s="5" t="s">
        <v>47</v>
      </c>
      <c r="I166" s="5" t="str">
        <f>IF(OR(A166="",B166="",C166="",D166="",F166="",G166=""),"ERROR","OK")</f>
        <v>OK</v>
      </c>
      <c r="J166" s="5" t="str">
        <f>IF(COUNTIF($A$2:$A$241,A166)&gt;1,"DUPLICATE","OK")</f>
        <v>OK</v>
      </c>
      <c r="K166" s="5" t="str">
        <f>IF(NOT(ISNUMBER(G166)),"NOT NUMBER",IF(OR(AND(LEFT(F166,1)="4",G166&gt;=0),AND(LEFT(F166,1)&lt;&gt;"4",G166&lt;=0)),"OK","CHECK"))</f>
        <v>OK</v>
      </c>
    </row>
    <row r="167" spans="1:11">
      <c r="A167" s="5" t="s">
        <v>230</v>
      </c>
      <c r="B167" s="5" t="s">
        <v>225</v>
      </c>
      <c r="C167" s="6">
        <v>46173</v>
      </c>
      <c r="D167" s="5" t="s">
        <v>44</v>
      </c>
      <c r="E167" s="5" t="s">
        <v>45</v>
      </c>
      <c r="F167" s="5" t="s">
        <v>57</v>
      </c>
      <c r="G167" s="7">
        <v>-157481.48</v>
      </c>
      <c r="H167" s="5" t="s">
        <v>47</v>
      </c>
      <c r="I167" s="5" t="str">
        <f>IF(OR(A167="",B167="",C167="",D167="",F167="",G167=""),"ERROR","OK")</f>
        <v>OK</v>
      </c>
      <c r="J167" s="5" t="str">
        <f>IF(COUNTIF($A$2:$A$241,A167)&gt;1,"DUPLICATE","OK")</f>
        <v>OK</v>
      </c>
      <c r="K167" s="5" t="str">
        <f>IF(NOT(ISNUMBER(G167)),"NOT NUMBER",IF(OR(AND(LEFT(F167,1)="4",G167&gt;=0),AND(LEFT(F167,1)&lt;&gt;"4",G167&lt;=0)),"OK","CHECK"))</f>
        <v>OK</v>
      </c>
    </row>
    <row r="168" spans="1:11">
      <c r="A168" s="5" t="s">
        <v>231</v>
      </c>
      <c r="B168" s="5" t="s">
        <v>225</v>
      </c>
      <c r="C168" s="6">
        <v>46173</v>
      </c>
      <c r="D168" s="5" t="s">
        <v>44</v>
      </c>
      <c r="E168" s="5" t="s">
        <v>45</v>
      </c>
      <c r="F168" s="5" t="s">
        <v>59</v>
      </c>
      <c r="G168" s="7">
        <v>-347707.75</v>
      </c>
      <c r="H168" s="5" t="s">
        <v>47</v>
      </c>
      <c r="I168" s="5" t="str">
        <f>IF(OR(A168="",B168="",C168="",D168="",F168="",G168=""),"ERROR","OK")</f>
        <v>OK</v>
      </c>
      <c r="J168" s="5" t="str">
        <f>IF(COUNTIF($A$2:$A$241,A168)&gt;1,"DUPLICATE","OK")</f>
        <v>OK</v>
      </c>
      <c r="K168" s="5" t="str">
        <f>IF(NOT(ISNUMBER(G168)),"NOT NUMBER",IF(OR(AND(LEFT(F168,1)="4",G168&gt;=0),AND(LEFT(F168,1)&lt;&gt;"4",G168&lt;=0)),"OK","CHECK"))</f>
        <v>OK</v>
      </c>
    </row>
    <row r="169" spans="1:11">
      <c r="A169" s="5" t="s">
        <v>232</v>
      </c>
      <c r="B169" s="5" t="s">
        <v>225</v>
      </c>
      <c r="C169" s="6">
        <v>46173</v>
      </c>
      <c r="D169" s="5" t="s">
        <v>44</v>
      </c>
      <c r="E169" s="5" t="s">
        <v>45</v>
      </c>
      <c r="F169" s="5" t="s">
        <v>61</v>
      </c>
      <c r="G169" s="7">
        <v>-76616.57000000001</v>
      </c>
      <c r="H169" s="5" t="s">
        <v>47</v>
      </c>
      <c r="I169" s="5" t="str">
        <f>IF(OR(A169="",B169="",C169="",D169="",F169="",G169=""),"ERROR","OK")</f>
        <v>OK</v>
      </c>
      <c r="J169" s="5" t="str">
        <f>IF(COUNTIF($A$2:$A$241,A169)&gt;1,"DUPLICATE","OK")</f>
        <v>OK</v>
      </c>
      <c r="K169" s="5" t="str">
        <f>IF(NOT(ISNUMBER(G169)),"NOT NUMBER",IF(OR(AND(LEFT(F169,1)="4",G169&gt;=0),AND(LEFT(F169,1)&lt;&gt;"4",G169&lt;=0)),"OK","CHECK"))</f>
        <v>OK</v>
      </c>
    </row>
    <row r="170" spans="1:11">
      <c r="A170" s="5" t="s">
        <v>233</v>
      </c>
      <c r="B170" s="5" t="s">
        <v>225</v>
      </c>
      <c r="C170" s="6">
        <v>46173</v>
      </c>
      <c r="D170" s="5" t="s">
        <v>44</v>
      </c>
      <c r="E170" s="5" t="s">
        <v>45</v>
      </c>
      <c r="F170" s="5" t="s">
        <v>63</v>
      </c>
      <c r="G170" s="7">
        <v>-58792.94</v>
      </c>
      <c r="H170" s="5" t="s">
        <v>47</v>
      </c>
      <c r="I170" s="5" t="str">
        <f>IF(OR(A170="",B170="",C170="",D170="",F170="",G170=""),"ERROR","OK")</f>
        <v>OK</v>
      </c>
      <c r="J170" s="5" t="str">
        <f>IF(COUNTIF($A$2:$A$241,A170)&gt;1,"DUPLICATE","OK")</f>
        <v>OK</v>
      </c>
      <c r="K170" s="5" t="str">
        <f>IF(NOT(ISNUMBER(G170)),"NOT NUMBER",IF(OR(AND(LEFT(F170,1)="4",G170&gt;=0),AND(LEFT(F170,1)&lt;&gt;"4",G170&lt;=0)),"OK","CHECK"))</f>
        <v>OK</v>
      </c>
    </row>
    <row r="171" spans="1:11">
      <c r="A171" s="5" t="s">
        <v>234</v>
      </c>
      <c r="B171" s="5" t="s">
        <v>225</v>
      </c>
      <c r="C171" s="6">
        <v>46173</v>
      </c>
      <c r="D171" s="5" t="s">
        <v>44</v>
      </c>
      <c r="E171" s="5" t="s">
        <v>45</v>
      </c>
      <c r="F171" s="5" t="s">
        <v>65</v>
      </c>
      <c r="G171" s="7">
        <v>-42934.84</v>
      </c>
      <c r="H171" s="5" t="s">
        <v>47</v>
      </c>
      <c r="I171" s="5" t="str">
        <f>IF(OR(A171="",B171="",C171="",D171="",F171="",G171=""),"ERROR","OK")</f>
        <v>OK</v>
      </c>
      <c r="J171" s="5" t="str">
        <f>IF(COUNTIF($A$2:$A$241,A171)&gt;1,"DUPLICATE","OK")</f>
        <v>OK</v>
      </c>
      <c r="K171" s="5" t="str">
        <f>IF(NOT(ISNUMBER(G171)),"NOT NUMBER",IF(OR(AND(LEFT(F171,1)="4",G171&gt;=0),AND(LEFT(F171,1)&lt;&gt;"4",G171&lt;=0)),"OK","CHECK"))</f>
        <v>OK</v>
      </c>
    </row>
    <row r="172" spans="1:11">
      <c r="A172" s="5" t="s">
        <v>235</v>
      </c>
      <c r="B172" s="5" t="s">
        <v>225</v>
      </c>
      <c r="C172" s="6">
        <v>46173</v>
      </c>
      <c r="D172" s="5" t="s">
        <v>67</v>
      </c>
      <c r="E172" s="5" t="s">
        <v>68</v>
      </c>
      <c r="F172" s="5" t="s">
        <v>46</v>
      </c>
      <c r="G172" s="7">
        <v>574553.42</v>
      </c>
      <c r="H172" s="5" t="s">
        <v>47</v>
      </c>
      <c r="I172" s="5" t="str">
        <f>IF(OR(A172="",B172="",C172="",D172="",F172="",G172=""),"ERROR","OK")</f>
        <v>OK</v>
      </c>
      <c r="J172" s="5" t="str">
        <f>IF(COUNTIF($A$2:$A$241,A172)&gt;1,"DUPLICATE","OK")</f>
        <v>OK</v>
      </c>
      <c r="K172" s="5" t="str">
        <f>IF(NOT(ISNUMBER(G172)),"NOT NUMBER",IF(OR(AND(LEFT(F172,1)="4",G172&gt;=0),AND(LEFT(F172,1)&lt;&gt;"4",G172&lt;=0)),"OK","CHECK"))</f>
        <v>OK</v>
      </c>
    </row>
    <row r="173" spans="1:11">
      <c r="A173" s="5" t="s">
        <v>236</v>
      </c>
      <c r="B173" s="5" t="s">
        <v>225</v>
      </c>
      <c r="C173" s="6">
        <v>46173</v>
      </c>
      <c r="D173" s="5" t="s">
        <v>67</v>
      </c>
      <c r="E173" s="5" t="s">
        <v>68</v>
      </c>
      <c r="F173" s="5" t="s">
        <v>49</v>
      </c>
      <c r="G173" s="7">
        <v>287185.67</v>
      </c>
      <c r="H173" s="5" t="s">
        <v>47</v>
      </c>
      <c r="I173" s="5" t="str">
        <f>IF(OR(A173="",B173="",C173="",D173="",F173="",G173=""),"ERROR","OK")</f>
        <v>OK</v>
      </c>
      <c r="J173" s="5" t="str">
        <f>IF(COUNTIF($A$2:$A$241,A173)&gt;1,"DUPLICATE","OK")</f>
        <v>OK</v>
      </c>
      <c r="K173" s="5" t="str">
        <f>IF(NOT(ISNUMBER(G173)),"NOT NUMBER",IF(OR(AND(LEFT(F173,1)="4",G173&gt;=0),AND(LEFT(F173,1)&lt;&gt;"4",G173&lt;=0)),"OK","CHECK"))</f>
        <v>OK</v>
      </c>
    </row>
    <row r="174" spans="1:11">
      <c r="A174" s="5" t="s">
        <v>237</v>
      </c>
      <c r="B174" s="5" t="s">
        <v>225</v>
      </c>
      <c r="C174" s="6">
        <v>46173</v>
      </c>
      <c r="D174" s="5" t="s">
        <v>67</v>
      </c>
      <c r="E174" s="5" t="s">
        <v>68</v>
      </c>
      <c r="F174" s="5" t="s">
        <v>51</v>
      </c>
      <c r="G174" s="7">
        <v>176953.51</v>
      </c>
      <c r="H174" s="5" t="s">
        <v>47</v>
      </c>
      <c r="I174" s="5" t="str">
        <f>IF(OR(A174="",B174="",C174="",D174="",F174="",G174=""),"ERROR","OK")</f>
        <v>OK</v>
      </c>
      <c r="J174" s="5" t="str">
        <f>IF(COUNTIF($A$2:$A$241,A174)&gt;1,"DUPLICATE","OK")</f>
        <v>OK</v>
      </c>
      <c r="K174" s="5" t="str">
        <f>IF(NOT(ISNUMBER(G174)),"NOT NUMBER",IF(OR(AND(LEFT(F174,1)="4",G174&gt;=0),AND(LEFT(F174,1)&lt;&gt;"4",G174&lt;=0)),"OK","CHECK"))</f>
        <v>OK</v>
      </c>
    </row>
    <row r="175" spans="1:11">
      <c r="A175" s="5" t="s">
        <v>238</v>
      </c>
      <c r="B175" s="5" t="s">
        <v>225</v>
      </c>
      <c r="C175" s="6">
        <v>46173</v>
      </c>
      <c r="D175" s="5" t="s">
        <v>67</v>
      </c>
      <c r="E175" s="5" t="s">
        <v>68</v>
      </c>
      <c r="F175" s="5" t="s">
        <v>53</v>
      </c>
      <c r="G175" s="7">
        <v>-300838.67</v>
      </c>
      <c r="H175" s="5" t="s">
        <v>47</v>
      </c>
      <c r="I175" s="5" t="str">
        <f>IF(OR(A175="",B175="",C175="",D175="",F175="",G175=""),"ERROR","OK")</f>
        <v>OK</v>
      </c>
      <c r="J175" s="5" t="str">
        <f>IF(COUNTIF($A$2:$A$241,A175)&gt;1,"DUPLICATE","OK")</f>
        <v>OK</v>
      </c>
      <c r="K175" s="5" t="str">
        <f>IF(NOT(ISNUMBER(G175)),"NOT NUMBER",IF(OR(AND(LEFT(F175,1)="4",G175&gt;=0),AND(LEFT(F175,1)&lt;&gt;"4",G175&lt;=0)),"OK","CHECK"))</f>
        <v>OK</v>
      </c>
    </row>
    <row r="176" spans="1:11">
      <c r="A176" s="5" t="s">
        <v>239</v>
      </c>
      <c r="B176" s="5" t="s">
        <v>225</v>
      </c>
      <c r="C176" s="6">
        <v>46173</v>
      </c>
      <c r="D176" s="5" t="s">
        <v>67</v>
      </c>
      <c r="E176" s="5" t="s">
        <v>68</v>
      </c>
      <c r="F176" s="5" t="s">
        <v>55</v>
      </c>
      <c r="G176" s="7">
        <v>-90431.32000000001</v>
      </c>
      <c r="H176" s="5" t="s">
        <v>47</v>
      </c>
      <c r="I176" s="5" t="str">
        <f>IF(OR(A176="",B176="",C176="",D176="",F176="",G176=""),"ERROR","OK")</f>
        <v>OK</v>
      </c>
      <c r="J176" s="5" t="str">
        <f>IF(COUNTIF($A$2:$A$241,A176)&gt;1,"DUPLICATE","OK")</f>
        <v>OK</v>
      </c>
      <c r="K176" s="5" t="str">
        <f>IF(NOT(ISNUMBER(G176)),"NOT NUMBER",IF(OR(AND(LEFT(F176,1)="4",G176&gt;=0),AND(LEFT(F176,1)&lt;&gt;"4",G176&lt;=0)),"OK","CHECK"))</f>
        <v>OK</v>
      </c>
    </row>
    <row r="177" spans="1:11">
      <c r="A177" s="5" t="s">
        <v>240</v>
      </c>
      <c r="B177" s="5" t="s">
        <v>225</v>
      </c>
      <c r="C177" s="6">
        <v>46173</v>
      </c>
      <c r="D177" s="5" t="s">
        <v>67</v>
      </c>
      <c r="E177" s="5" t="s">
        <v>68</v>
      </c>
      <c r="F177" s="5" t="s">
        <v>57</v>
      </c>
      <c r="G177" s="7">
        <v>-117657.46</v>
      </c>
      <c r="H177" s="5" t="s">
        <v>47</v>
      </c>
      <c r="I177" s="5" t="str">
        <f>IF(OR(A177="",B177="",C177="",D177="",F177="",G177=""),"ERROR","OK")</f>
        <v>OK</v>
      </c>
      <c r="J177" s="5" t="str">
        <f>IF(COUNTIF($A$2:$A$241,A177)&gt;1,"DUPLICATE","OK")</f>
        <v>OK</v>
      </c>
      <c r="K177" s="5" t="str">
        <f>IF(NOT(ISNUMBER(G177)),"NOT NUMBER",IF(OR(AND(LEFT(F177,1)="4",G177&gt;=0),AND(LEFT(F177,1)&lt;&gt;"4",G177&lt;=0)),"OK","CHECK"))</f>
        <v>OK</v>
      </c>
    </row>
    <row r="178" spans="1:11">
      <c r="A178" s="5" t="s">
        <v>241</v>
      </c>
      <c r="B178" s="5" t="s">
        <v>225</v>
      </c>
      <c r="C178" s="6">
        <v>46173</v>
      </c>
      <c r="D178" s="5" t="s">
        <v>67</v>
      </c>
      <c r="E178" s="5" t="s">
        <v>68</v>
      </c>
      <c r="F178" s="5" t="s">
        <v>59</v>
      </c>
      <c r="G178" s="7">
        <v>-244655.77</v>
      </c>
      <c r="H178" s="5" t="s">
        <v>47</v>
      </c>
      <c r="I178" s="5" t="str">
        <f>IF(OR(A178="",B178="",C178="",D178="",F178="",G178=""),"ERROR","OK")</f>
        <v>OK</v>
      </c>
      <c r="J178" s="5" t="str">
        <f>IF(COUNTIF($A$2:$A$241,A178)&gt;1,"DUPLICATE","OK")</f>
        <v>OK</v>
      </c>
      <c r="K178" s="5" t="str">
        <f>IF(NOT(ISNUMBER(G178)),"NOT NUMBER",IF(OR(AND(LEFT(F178,1)="4",G178&gt;=0),AND(LEFT(F178,1)&lt;&gt;"4",G178&lt;=0)),"OK","CHECK"))</f>
        <v>OK</v>
      </c>
    </row>
    <row r="179" spans="1:11">
      <c r="A179" s="5" t="s">
        <v>242</v>
      </c>
      <c r="B179" s="5" t="s">
        <v>225</v>
      </c>
      <c r="C179" s="6">
        <v>46173</v>
      </c>
      <c r="D179" s="5" t="s">
        <v>67</v>
      </c>
      <c r="E179" s="5" t="s">
        <v>68</v>
      </c>
      <c r="F179" s="5" t="s">
        <v>61</v>
      </c>
      <c r="G179" s="7">
        <v>-53569.67</v>
      </c>
      <c r="H179" s="5" t="s">
        <v>47</v>
      </c>
      <c r="I179" s="5" t="str">
        <f>IF(OR(A179="",B179="",C179="",D179="",F179="",G179=""),"ERROR","OK")</f>
        <v>OK</v>
      </c>
      <c r="J179" s="5" t="str">
        <f>IF(COUNTIF($A$2:$A$241,A179)&gt;1,"DUPLICATE","OK")</f>
        <v>OK</v>
      </c>
      <c r="K179" s="5" t="str">
        <f>IF(NOT(ISNUMBER(G179)),"NOT NUMBER",IF(OR(AND(LEFT(F179,1)="4",G179&gt;=0),AND(LEFT(F179,1)&lt;&gt;"4",G179&lt;=0)),"OK","CHECK"))</f>
        <v>OK</v>
      </c>
    </row>
    <row r="180" spans="1:11">
      <c r="A180" s="5" t="s">
        <v>243</v>
      </c>
      <c r="B180" s="5" t="s">
        <v>225</v>
      </c>
      <c r="C180" s="6">
        <v>46173</v>
      </c>
      <c r="D180" s="5" t="s">
        <v>67</v>
      </c>
      <c r="E180" s="5" t="s">
        <v>68</v>
      </c>
      <c r="F180" s="5" t="s">
        <v>63</v>
      </c>
      <c r="G180" s="7">
        <v>-40751.33</v>
      </c>
      <c r="H180" s="5" t="s">
        <v>47</v>
      </c>
      <c r="I180" s="5" t="str">
        <f>IF(OR(A180="",B180="",C180="",D180="",F180="",G180=""),"ERROR","OK")</f>
        <v>OK</v>
      </c>
      <c r="J180" s="5" t="str">
        <f>IF(COUNTIF($A$2:$A$241,A180)&gt;1,"DUPLICATE","OK")</f>
        <v>OK</v>
      </c>
      <c r="K180" s="5" t="str">
        <f>IF(NOT(ISNUMBER(G180)),"NOT NUMBER",IF(OR(AND(LEFT(F180,1)="4",G180&gt;=0),AND(LEFT(F180,1)&lt;&gt;"4",G180&lt;=0)),"OK","CHECK"))</f>
        <v>OK</v>
      </c>
    </row>
    <row r="181" spans="1:11">
      <c r="A181" s="5" t="s">
        <v>244</v>
      </c>
      <c r="B181" s="5" t="s">
        <v>225</v>
      </c>
      <c r="C181" s="6">
        <v>46173</v>
      </c>
      <c r="D181" s="5" t="s">
        <v>67</v>
      </c>
      <c r="E181" s="5" t="s">
        <v>68</v>
      </c>
      <c r="F181" s="5" t="s">
        <v>65</v>
      </c>
      <c r="G181" s="7">
        <v>-32148.74</v>
      </c>
      <c r="H181" s="5" t="s">
        <v>47</v>
      </c>
      <c r="I181" s="5" t="str">
        <f>IF(OR(A181="",B181="",C181="",D181="",F181="",G181=""),"ERROR","OK")</f>
        <v>OK</v>
      </c>
      <c r="J181" s="5" t="str">
        <f>IF(COUNTIF($A$2:$A$241,A181)&gt;1,"DUPLICATE","OK")</f>
        <v>OK</v>
      </c>
      <c r="K181" s="5" t="str">
        <f>IF(NOT(ISNUMBER(G181)),"NOT NUMBER",IF(OR(AND(LEFT(F181,1)="4",G181&gt;=0),AND(LEFT(F181,1)&lt;&gt;"4",G181&lt;=0)),"OK","CHECK"))</f>
        <v>OK</v>
      </c>
    </row>
    <row r="182" spans="1:11">
      <c r="A182" s="5" t="s">
        <v>245</v>
      </c>
      <c r="B182" s="5" t="s">
        <v>225</v>
      </c>
      <c r="C182" s="6">
        <v>46173</v>
      </c>
      <c r="D182" s="5" t="s">
        <v>79</v>
      </c>
      <c r="E182" s="5" t="s">
        <v>45</v>
      </c>
      <c r="F182" s="5" t="s">
        <v>46</v>
      </c>
      <c r="G182" s="7">
        <v>1036328.39</v>
      </c>
      <c r="H182" s="5" t="s">
        <v>47</v>
      </c>
      <c r="I182" s="5" t="str">
        <f>IF(OR(A182="",B182="",C182="",D182="",F182="",G182=""),"ERROR","OK")</f>
        <v>OK</v>
      </c>
      <c r="J182" s="5" t="str">
        <f>IF(COUNTIF($A$2:$A$241,A182)&gt;1,"DUPLICATE","OK")</f>
        <v>OK</v>
      </c>
      <c r="K182" s="5" t="str">
        <f>IF(NOT(ISNUMBER(G182)),"NOT NUMBER",IF(OR(AND(LEFT(F182,1)="4",G182&gt;=0),AND(LEFT(F182,1)&lt;&gt;"4",G182&lt;=0)),"OK","CHECK"))</f>
        <v>OK</v>
      </c>
    </row>
    <row r="183" spans="1:11">
      <c r="A183" s="5" t="s">
        <v>246</v>
      </c>
      <c r="B183" s="5" t="s">
        <v>225</v>
      </c>
      <c r="C183" s="6">
        <v>46173</v>
      </c>
      <c r="D183" s="5" t="s">
        <v>79</v>
      </c>
      <c r="E183" s="5" t="s">
        <v>45</v>
      </c>
      <c r="F183" s="5" t="s">
        <v>49</v>
      </c>
      <c r="G183" s="7">
        <v>556445.33</v>
      </c>
      <c r="H183" s="5" t="s">
        <v>47</v>
      </c>
      <c r="I183" s="5" t="str">
        <f>IF(OR(A183="",B183="",C183="",D183="",F183="",G183=""),"ERROR","OK")</f>
        <v>OK</v>
      </c>
      <c r="J183" s="5" t="str">
        <f>IF(COUNTIF($A$2:$A$241,A183)&gt;1,"DUPLICATE","OK")</f>
        <v>OK</v>
      </c>
      <c r="K183" s="5" t="str">
        <f>IF(NOT(ISNUMBER(G183)),"NOT NUMBER",IF(OR(AND(LEFT(F183,1)="4",G183&gt;=0),AND(LEFT(F183,1)&lt;&gt;"4",G183&lt;=0)),"OK","CHECK"))</f>
        <v>OK</v>
      </c>
    </row>
    <row r="184" spans="1:11">
      <c r="A184" s="5" t="s">
        <v>247</v>
      </c>
      <c r="B184" s="5" t="s">
        <v>225</v>
      </c>
      <c r="C184" s="6">
        <v>46173</v>
      </c>
      <c r="D184" s="5" t="s">
        <v>79</v>
      </c>
      <c r="E184" s="5" t="s">
        <v>45</v>
      </c>
      <c r="F184" s="5" t="s">
        <v>51</v>
      </c>
      <c r="G184" s="7">
        <v>339167.08</v>
      </c>
      <c r="H184" s="5" t="s">
        <v>47</v>
      </c>
      <c r="I184" s="5" t="str">
        <f>IF(OR(A184="",B184="",C184="",D184="",F184="",G184=""),"ERROR","OK")</f>
        <v>OK</v>
      </c>
      <c r="J184" s="5" t="str">
        <f>IF(COUNTIF($A$2:$A$241,A184)&gt;1,"DUPLICATE","OK")</f>
        <v>OK</v>
      </c>
      <c r="K184" s="5" t="str">
        <f>IF(NOT(ISNUMBER(G184)),"NOT NUMBER",IF(OR(AND(LEFT(F184,1)="4",G184&gt;=0),AND(LEFT(F184,1)&lt;&gt;"4",G184&lt;=0)),"OK","CHECK"))</f>
        <v>OK</v>
      </c>
    </row>
    <row r="185" spans="1:11">
      <c r="A185" s="5" t="s">
        <v>248</v>
      </c>
      <c r="B185" s="5" t="s">
        <v>225</v>
      </c>
      <c r="C185" s="6">
        <v>46173</v>
      </c>
      <c r="D185" s="5" t="s">
        <v>79</v>
      </c>
      <c r="E185" s="5" t="s">
        <v>45</v>
      </c>
      <c r="F185" s="5" t="s">
        <v>53</v>
      </c>
      <c r="G185" s="7">
        <v>-571567.24</v>
      </c>
      <c r="H185" s="5" t="s">
        <v>47</v>
      </c>
      <c r="I185" s="5" t="str">
        <f>IF(OR(A185="",B185="",C185="",D185="",F185="",G185=""),"ERROR","OK")</f>
        <v>OK</v>
      </c>
      <c r="J185" s="5" t="str">
        <f>IF(COUNTIF($A$2:$A$241,A185)&gt;1,"DUPLICATE","OK")</f>
        <v>OK</v>
      </c>
      <c r="K185" s="5" t="str">
        <f>IF(NOT(ISNUMBER(G185)),"NOT NUMBER",IF(OR(AND(LEFT(F185,1)="4",G185&gt;=0),AND(LEFT(F185,1)&lt;&gt;"4",G185&lt;=0)),"OK","CHECK"))</f>
        <v>OK</v>
      </c>
    </row>
    <row r="186" spans="1:11">
      <c r="A186" s="5" t="s">
        <v>249</v>
      </c>
      <c r="B186" s="5" t="s">
        <v>225</v>
      </c>
      <c r="C186" s="6">
        <v>46173</v>
      </c>
      <c r="D186" s="5" t="s">
        <v>79</v>
      </c>
      <c r="E186" s="5" t="s">
        <v>45</v>
      </c>
      <c r="F186" s="5" t="s">
        <v>55</v>
      </c>
      <c r="G186" s="7">
        <v>-186176.11</v>
      </c>
      <c r="H186" s="5" t="s">
        <v>47</v>
      </c>
      <c r="I186" s="5" t="str">
        <f>IF(OR(A186="",B186="",C186="",D186="",F186="",G186=""),"ERROR","OK")</f>
        <v>OK</v>
      </c>
      <c r="J186" s="5" t="str">
        <f>IF(COUNTIF($A$2:$A$241,A186)&gt;1,"DUPLICATE","OK")</f>
        <v>OK</v>
      </c>
      <c r="K186" s="5" t="str">
        <f>IF(NOT(ISNUMBER(G186)),"NOT NUMBER",IF(OR(AND(LEFT(F186,1)="4",G186&gt;=0),AND(LEFT(F186,1)&lt;&gt;"4",G186&lt;=0)),"OK","CHECK"))</f>
        <v>OK</v>
      </c>
    </row>
    <row r="187" spans="1:11">
      <c r="A187" s="5" t="s">
        <v>250</v>
      </c>
      <c r="B187" s="5" t="s">
        <v>225</v>
      </c>
      <c r="C187" s="6">
        <v>46173</v>
      </c>
      <c r="D187" s="5" t="s">
        <v>79</v>
      </c>
      <c r="E187" s="5" t="s">
        <v>45</v>
      </c>
      <c r="F187" s="5" t="s">
        <v>57</v>
      </c>
      <c r="G187" s="7">
        <v>-230199.24</v>
      </c>
      <c r="H187" s="5" t="s">
        <v>47</v>
      </c>
      <c r="I187" s="5" t="str">
        <f>IF(OR(A187="",B187="",C187="",D187="",F187="",G187=""),"ERROR","OK")</f>
        <v>OK</v>
      </c>
      <c r="J187" s="5" t="str">
        <f>IF(COUNTIF($A$2:$A$241,A187)&gt;1,"DUPLICATE","OK")</f>
        <v>OK</v>
      </c>
      <c r="K187" s="5" t="str">
        <f>IF(NOT(ISNUMBER(G187)),"NOT NUMBER",IF(OR(AND(LEFT(F187,1)="4",G187&gt;=0),AND(LEFT(F187,1)&lt;&gt;"4",G187&lt;=0)),"OK","CHECK"))</f>
        <v>OK</v>
      </c>
    </row>
    <row r="188" spans="1:11">
      <c r="A188" s="5" t="s">
        <v>251</v>
      </c>
      <c r="B188" s="5" t="s">
        <v>225</v>
      </c>
      <c r="C188" s="6">
        <v>46173</v>
      </c>
      <c r="D188" s="5" t="s">
        <v>79</v>
      </c>
      <c r="E188" s="5" t="s">
        <v>45</v>
      </c>
      <c r="F188" s="5" t="s">
        <v>59</v>
      </c>
      <c r="G188" s="7">
        <v>-459100.06</v>
      </c>
      <c r="H188" s="5" t="s">
        <v>47</v>
      </c>
      <c r="I188" s="5" t="str">
        <f>IF(OR(A188="",B188="",C188="",D188="",F188="",G188=""),"ERROR","OK")</f>
        <v>OK</v>
      </c>
      <c r="J188" s="5" t="str">
        <f>IF(COUNTIF($A$2:$A$241,A188)&gt;1,"DUPLICATE","OK")</f>
        <v>OK</v>
      </c>
      <c r="K188" s="5" t="str">
        <f>IF(NOT(ISNUMBER(G188)),"NOT NUMBER",IF(OR(AND(LEFT(F188,1)="4",G188&gt;=0),AND(LEFT(F188,1)&lt;&gt;"4",G188&lt;=0)),"OK","CHECK"))</f>
        <v>OK</v>
      </c>
    </row>
    <row r="189" spans="1:11">
      <c r="A189" s="5" t="s">
        <v>252</v>
      </c>
      <c r="B189" s="5" t="s">
        <v>225</v>
      </c>
      <c r="C189" s="6">
        <v>46173</v>
      </c>
      <c r="D189" s="5" t="s">
        <v>79</v>
      </c>
      <c r="E189" s="5" t="s">
        <v>45</v>
      </c>
      <c r="F189" s="5" t="s">
        <v>61</v>
      </c>
      <c r="G189" s="7">
        <v>-98352.38</v>
      </c>
      <c r="H189" s="5" t="s">
        <v>47</v>
      </c>
      <c r="I189" s="5" t="str">
        <f>IF(OR(A189="",B189="",C189="",D189="",F189="",G189=""),"ERROR","OK")</f>
        <v>OK</v>
      </c>
      <c r="J189" s="5" t="str">
        <f>IF(COUNTIF($A$2:$A$241,A189)&gt;1,"DUPLICATE","OK")</f>
        <v>OK</v>
      </c>
      <c r="K189" s="5" t="str">
        <f>IF(NOT(ISNUMBER(G189)),"NOT NUMBER",IF(OR(AND(LEFT(F189,1)="4",G189&gt;=0),AND(LEFT(F189,1)&lt;&gt;"4",G189&lt;=0)),"OK","CHECK"))</f>
        <v>OK</v>
      </c>
    </row>
    <row r="190" spans="1:11">
      <c r="A190" s="5" t="s">
        <v>253</v>
      </c>
      <c r="B190" s="5" t="s">
        <v>225</v>
      </c>
      <c r="C190" s="6">
        <v>46173</v>
      </c>
      <c r="D190" s="5" t="s">
        <v>79</v>
      </c>
      <c r="E190" s="5" t="s">
        <v>45</v>
      </c>
      <c r="F190" s="5" t="s">
        <v>63</v>
      </c>
      <c r="G190" s="7">
        <v>-80499.03</v>
      </c>
      <c r="H190" s="5" t="s">
        <v>47</v>
      </c>
      <c r="I190" s="5" t="str">
        <f>IF(OR(A190="",B190="",C190="",D190="",F190="",G190=""),"ERROR","OK")</f>
        <v>OK</v>
      </c>
      <c r="J190" s="5" t="str">
        <f>IF(COUNTIF($A$2:$A$241,A190)&gt;1,"DUPLICATE","OK")</f>
        <v>OK</v>
      </c>
      <c r="K190" s="5" t="str">
        <f>IF(NOT(ISNUMBER(G190)),"NOT NUMBER",IF(OR(AND(LEFT(F190,1)="4",G190&gt;=0),AND(LEFT(F190,1)&lt;&gt;"4",G190&lt;=0)),"OK","CHECK"))</f>
        <v>OK</v>
      </c>
    </row>
    <row r="191" spans="1:11">
      <c r="A191" s="5" t="s">
        <v>254</v>
      </c>
      <c r="B191" s="5" t="s">
        <v>225</v>
      </c>
      <c r="C191" s="6">
        <v>46173</v>
      </c>
      <c r="D191" s="5" t="s">
        <v>79</v>
      </c>
      <c r="E191" s="5" t="s">
        <v>45</v>
      </c>
      <c r="F191" s="5" t="s">
        <v>65</v>
      </c>
      <c r="G191" s="7">
        <v>-57849.78</v>
      </c>
      <c r="H191" s="5" t="s">
        <v>47</v>
      </c>
      <c r="I191" s="5" t="str">
        <f>IF(OR(A191="",B191="",C191="",D191="",F191="",G191=""),"ERROR","OK")</f>
        <v>OK</v>
      </c>
      <c r="J191" s="5" t="str">
        <f>IF(COUNTIF($A$2:$A$241,A191)&gt;1,"DUPLICATE","OK")</f>
        <v>OK</v>
      </c>
      <c r="K191" s="5" t="str">
        <f>IF(NOT(ISNUMBER(G191)),"NOT NUMBER",IF(OR(AND(LEFT(F191,1)="4",G191&gt;=0),AND(LEFT(F191,1)&lt;&gt;"4",G191&lt;=0)),"OK","CHECK"))</f>
        <v>OK</v>
      </c>
    </row>
    <row r="192" spans="1:11">
      <c r="A192" s="5" t="s">
        <v>255</v>
      </c>
      <c r="B192" s="5" t="s">
        <v>225</v>
      </c>
      <c r="C192" s="6">
        <v>46173</v>
      </c>
      <c r="D192" s="5" t="s">
        <v>90</v>
      </c>
      <c r="E192" s="5" t="s">
        <v>91</v>
      </c>
      <c r="F192" s="5" t="s">
        <v>46</v>
      </c>
      <c r="G192" s="7">
        <v>397822.43</v>
      </c>
      <c r="H192" s="5" t="s">
        <v>47</v>
      </c>
      <c r="I192" s="5" t="str">
        <f>IF(OR(A192="",B192="",C192="",D192="",F192="",G192=""),"ERROR","OK")</f>
        <v>OK</v>
      </c>
      <c r="J192" s="5" t="str">
        <f>IF(COUNTIF($A$2:$A$241,A192)&gt;1,"DUPLICATE","OK")</f>
        <v>OK</v>
      </c>
      <c r="K192" s="5" t="str">
        <f>IF(NOT(ISNUMBER(G192)),"NOT NUMBER",IF(OR(AND(LEFT(F192,1)="4",G192&gt;=0),AND(LEFT(F192,1)&lt;&gt;"4",G192&lt;=0)),"OK","CHECK"))</f>
        <v>OK</v>
      </c>
    </row>
    <row r="193" spans="1:11">
      <c r="A193" s="5" t="s">
        <v>256</v>
      </c>
      <c r="B193" s="5" t="s">
        <v>225</v>
      </c>
      <c r="C193" s="6">
        <v>46173</v>
      </c>
      <c r="D193" s="5" t="s">
        <v>90</v>
      </c>
      <c r="E193" s="5" t="s">
        <v>91</v>
      </c>
      <c r="F193" s="5" t="s">
        <v>49</v>
      </c>
      <c r="G193" s="7">
        <v>202568.97</v>
      </c>
      <c r="H193" s="5" t="s">
        <v>47</v>
      </c>
      <c r="I193" s="5" t="str">
        <f>IF(OR(A193="",B193="",C193="",D193="",F193="",G193=""),"ERROR","OK")</f>
        <v>OK</v>
      </c>
      <c r="J193" s="5" t="str">
        <f>IF(COUNTIF($A$2:$A$241,A193)&gt;1,"DUPLICATE","OK")</f>
        <v>OK</v>
      </c>
      <c r="K193" s="5" t="str">
        <f>IF(NOT(ISNUMBER(G193)),"NOT NUMBER",IF(OR(AND(LEFT(F193,1)="4",G193&gt;=0),AND(LEFT(F193,1)&lt;&gt;"4",G193&lt;=0)),"OK","CHECK"))</f>
        <v>OK</v>
      </c>
    </row>
    <row r="194" spans="1:11">
      <c r="A194" s="5" t="s">
        <v>257</v>
      </c>
      <c r="B194" s="5" t="s">
        <v>225</v>
      </c>
      <c r="C194" s="6">
        <v>46173</v>
      </c>
      <c r="D194" s="5" t="s">
        <v>90</v>
      </c>
      <c r="E194" s="5" t="s">
        <v>91</v>
      </c>
      <c r="F194" s="5" t="s">
        <v>51</v>
      </c>
      <c r="G194" s="7">
        <v>121703.78</v>
      </c>
      <c r="H194" s="5" t="s">
        <v>47</v>
      </c>
      <c r="I194" s="5" t="str">
        <f>IF(OR(A194="",B194="",C194="",D194="",F194="",G194=""),"ERROR","OK")</f>
        <v>OK</v>
      </c>
      <c r="J194" s="5" t="str">
        <f>IF(COUNTIF($A$2:$A$241,A194)&gt;1,"DUPLICATE","OK")</f>
        <v>OK</v>
      </c>
      <c r="K194" s="5" t="str">
        <f>IF(NOT(ISNUMBER(G194)),"NOT NUMBER",IF(OR(AND(LEFT(F194,1)="4",G194&gt;=0),AND(LEFT(F194,1)&lt;&gt;"4",G194&lt;=0)),"OK","CHECK"))</f>
        <v>OK</v>
      </c>
    </row>
    <row r="195" spans="1:11">
      <c r="A195" s="5" t="s">
        <v>258</v>
      </c>
      <c r="B195" s="5" t="s">
        <v>225</v>
      </c>
      <c r="C195" s="6">
        <v>46173</v>
      </c>
      <c r="D195" s="5" t="s">
        <v>90</v>
      </c>
      <c r="E195" s="5" t="s">
        <v>91</v>
      </c>
      <c r="F195" s="5" t="s">
        <v>53</v>
      </c>
      <c r="G195" s="7">
        <v>-204289.68</v>
      </c>
      <c r="H195" s="5" t="s">
        <v>47</v>
      </c>
      <c r="I195" s="5" t="str">
        <f>IF(OR(A195="",B195="",C195="",D195="",F195="",G195=""),"ERROR","OK")</f>
        <v>OK</v>
      </c>
      <c r="J195" s="5" t="str">
        <f>IF(COUNTIF($A$2:$A$241,A195)&gt;1,"DUPLICATE","OK")</f>
        <v>OK</v>
      </c>
      <c r="K195" s="5" t="str">
        <f>IF(NOT(ISNUMBER(G195)),"NOT NUMBER",IF(OR(AND(LEFT(F195,1)="4",G195&gt;=0),AND(LEFT(F195,1)&lt;&gt;"4",G195&lt;=0)),"OK","CHECK"))</f>
        <v>OK</v>
      </c>
    </row>
    <row r="196" spans="1:11">
      <c r="A196" s="5" t="s">
        <v>259</v>
      </c>
      <c r="B196" s="5" t="s">
        <v>225</v>
      </c>
      <c r="C196" s="6">
        <v>46173</v>
      </c>
      <c r="D196" s="5" t="s">
        <v>90</v>
      </c>
      <c r="E196" s="5" t="s">
        <v>91</v>
      </c>
      <c r="F196" s="5" t="s">
        <v>55</v>
      </c>
      <c r="G196" s="7">
        <v>-67579.49000000001</v>
      </c>
      <c r="H196" s="5" t="s">
        <v>47</v>
      </c>
      <c r="I196" s="5" t="str">
        <f>IF(OR(A196="",B196="",C196="",D196="",F196="",G196=""),"ERROR","OK")</f>
        <v>OK</v>
      </c>
      <c r="J196" s="5" t="str">
        <f>IF(COUNTIF($A$2:$A$241,A196)&gt;1,"DUPLICATE","OK")</f>
        <v>OK</v>
      </c>
      <c r="K196" s="5" t="str">
        <f>IF(NOT(ISNUMBER(G196)),"NOT NUMBER",IF(OR(AND(LEFT(F196,1)="4",G196&gt;=0),AND(LEFT(F196,1)&lt;&gt;"4",G196&lt;=0)),"OK","CHECK"))</f>
        <v>OK</v>
      </c>
    </row>
    <row r="197" spans="1:11">
      <c r="A197" s="5" t="s">
        <v>260</v>
      </c>
      <c r="B197" s="5" t="s">
        <v>225</v>
      </c>
      <c r="C197" s="6">
        <v>46173</v>
      </c>
      <c r="D197" s="5" t="s">
        <v>90</v>
      </c>
      <c r="E197" s="5" t="s">
        <v>91</v>
      </c>
      <c r="F197" s="5" t="s">
        <v>57</v>
      </c>
      <c r="G197" s="7">
        <v>-80331.99000000001</v>
      </c>
      <c r="H197" s="5" t="s">
        <v>47</v>
      </c>
      <c r="I197" s="5" t="str">
        <f>IF(OR(A197="",B197="",C197="",D197="",F197="",G197=""),"ERROR","OK")</f>
        <v>OK</v>
      </c>
      <c r="J197" s="5" t="str">
        <f>IF(COUNTIF($A$2:$A$241,A197)&gt;1,"DUPLICATE","OK")</f>
        <v>OK</v>
      </c>
      <c r="K197" s="5" t="str">
        <f>IF(NOT(ISNUMBER(G197)),"NOT NUMBER",IF(OR(AND(LEFT(F197,1)="4",G197&gt;=0),AND(LEFT(F197,1)&lt;&gt;"4",G197&lt;=0)),"OK","CHECK"))</f>
        <v>OK</v>
      </c>
    </row>
    <row r="198" spans="1:11">
      <c r="A198" s="5" t="s">
        <v>261</v>
      </c>
      <c r="B198" s="5" t="s">
        <v>225</v>
      </c>
      <c r="C198" s="6">
        <v>46173</v>
      </c>
      <c r="D198" s="5" t="s">
        <v>90</v>
      </c>
      <c r="E198" s="5" t="s">
        <v>91</v>
      </c>
      <c r="F198" s="5" t="s">
        <v>59</v>
      </c>
      <c r="G198" s="7">
        <v>-158550.22</v>
      </c>
      <c r="H198" s="5" t="s">
        <v>47</v>
      </c>
      <c r="I198" s="5" t="str">
        <f>IF(OR(A198="",B198="",C198="",D198="",F198="",G198=""),"ERROR","OK")</f>
        <v>OK</v>
      </c>
      <c r="J198" s="5" t="str">
        <f>IF(COUNTIF($A$2:$A$241,A198)&gt;1,"DUPLICATE","OK")</f>
        <v>OK</v>
      </c>
      <c r="K198" s="5" t="str">
        <f>IF(NOT(ISNUMBER(G198)),"NOT NUMBER",IF(OR(AND(LEFT(F198,1)="4",G198&gt;=0),AND(LEFT(F198,1)&lt;&gt;"4",G198&lt;=0)),"OK","CHECK"))</f>
        <v>OK</v>
      </c>
    </row>
    <row r="199" spans="1:11">
      <c r="A199" s="5" t="s">
        <v>262</v>
      </c>
      <c r="B199" s="5" t="s">
        <v>225</v>
      </c>
      <c r="C199" s="6">
        <v>46173</v>
      </c>
      <c r="D199" s="5" t="s">
        <v>90</v>
      </c>
      <c r="E199" s="5" t="s">
        <v>91</v>
      </c>
      <c r="F199" s="5" t="s">
        <v>61</v>
      </c>
      <c r="G199" s="7">
        <v>-33354.14</v>
      </c>
      <c r="H199" s="5" t="s">
        <v>47</v>
      </c>
      <c r="I199" s="5" t="str">
        <f>IF(OR(A199="",B199="",C199="",D199="",F199="",G199=""),"ERROR","OK")</f>
        <v>OK</v>
      </c>
      <c r="J199" s="5" t="str">
        <f>IF(COUNTIF($A$2:$A$241,A199)&gt;1,"DUPLICATE","OK")</f>
        <v>OK</v>
      </c>
      <c r="K199" s="5" t="str">
        <f>IF(NOT(ISNUMBER(G199)),"NOT NUMBER",IF(OR(AND(LEFT(F199,1)="4",G199&gt;=0),AND(LEFT(F199,1)&lt;&gt;"4",G199&lt;=0)),"OK","CHECK"))</f>
        <v>OK</v>
      </c>
    </row>
    <row r="200" spans="1:11">
      <c r="A200" s="5" t="s">
        <v>263</v>
      </c>
      <c r="B200" s="5" t="s">
        <v>225</v>
      </c>
      <c r="C200" s="6">
        <v>46173</v>
      </c>
      <c r="D200" s="5" t="s">
        <v>90</v>
      </c>
      <c r="E200" s="5" t="s">
        <v>91</v>
      </c>
      <c r="F200" s="5" t="s">
        <v>63</v>
      </c>
      <c r="G200" s="7">
        <v>-28959.63</v>
      </c>
      <c r="H200" s="5" t="s">
        <v>47</v>
      </c>
      <c r="I200" s="5" t="str">
        <f>IF(OR(A200="",B200="",C200="",D200="",F200="",G200=""),"ERROR","OK")</f>
        <v>OK</v>
      </c>
      <c r="J200" s="5" t="str">
        <f>IF(COUNTIF($A$2:$A$241,A200)&gt;1,"DUPLICATE","OK")</f>
        <v>OK</v>
      </c>
      <c r="K200" s="5" t="str">
        <f>IF(NOT(ISNUMBER(G200)),"NOT NUMBER",IF(OR(AND(LEFT(F200,1)="4",G200&gt;=0),AND(LEFT(F200,1)&lt;&gt;"4",G200&lt;=0)),"OK","CHECK"))</f>
        <v>OK</v>
      </c>
    </row>
    <row r="201" spans="1:11">
      <c r="A201" s="5" t="s">
        <v>264</v>
      </c>
      <c r="B201" s="5" t="s">
        <v>225</v>
      </c>
      <c r="C201" s="6">
        <v>46173</v>
      </c>
      <c r="D201" s="5" t="s">
        <v>90</v>
      </c>
      <c r="E201" s="5" t="s">
        <v>91</v>
      </c>
      <c r="F201" s="5" t="s">
        <v>65</v>
      </c>
      <c r="G201" s="7">
        <v>-21209.67</v>
      </c>
      <c r="H201" s="5" t="s">
        <v>47</v>
      </c>
      <c r="I201" s="5" t="str">
        <f>IF(OR(A201="",B201="",C201="",D201="",F201="",G201=""),"ERROR","OK")</f>
        <v>OK</v>
      </c>
      <c r="J201" s="5" t="str">
        <f>IF(COUNTIF($A$2:$A$241,A201)&gt;1,"DUPLICATE","OK")</f>
        <v>OK</v>
      </c>
      <c r="K201" s="5" t="str">
        <f>IF(NOT(ISNUMBER(G201)),"NOT NUMBER",IF(OR(AND(LEFT(F201,1)="4",G201&gt;=0),AND(LEFT(F201,1)&lt;&gt;"4",G201&lt;=0)),"OK","CHECK"))</f>
        <v>OK</v>
      </c>
    </row>
    <row r="202" spans="1:11">
      <c r="A202" s="5" t="s">
        <v>265</v>
      </c>
      <c r="B202" s="5" t="s">
        <v>266</v>
      </c>
      <c r="C202" s="6">
        <v>46203</v>
      </c>
      <c r="D202" s="5" t="s">
        <v>44</v>
      </c>
      <c r="E202" s="5" t="s">
        <v>45</v>
      </c>
      <c r="F202" s="5" t="s">
        <v>46</v>
      </c>
      <c r="G202" s="7">
        <v>918559.26</v>
      </c>
      <c r="H202" s="5" t="s">
        <v>47</v>
      </c>
      <c r="I202" s="5" t="str">
        <f>IF(OR(A202="",B202="",C202="",D202="",F202="",G202=""),"ERROR","OK")</f>
        <v>OK</v>
      </c>
      <c r="J202" s="5" t="str">
        <f>IF(COUNTIF($A$2:$A$241,A202)&gt;1,"DUPLICATE","OK")</f>
        <v>OK</v>
      </c>
      <c r="K202" s="5" t="str">
        <f>IF(NOT(ISNUMBER(G202)),"NOT NUMBER",IF(OR(AND(LEFT(F202,1)="4",G202&gt;=0),AND(LEFT(F202,1)&lt;&gt;"4",G202&lt;=0)),"OK","CHECK"))</f>
        <v>OK</v>
      </c>
    </row>
    <row r="203" spans="1:11">
      <c r="A203" s="5" t="s">
        <v>267</v>
      </c>
      <c r="B203" s="5" t="s">
        <v>266</v>
      </c>
      <c r="C203" s="6">
        <v>46203</v>
      </c>
      <c r="D203" s="5" t="s">
        <v>44</v>
      </c>
      <c r="E203" s="5" t="s">
        <v>45</v>
      </c>
      <c r="F203" s="5" t="s">
        <v>49</v>
      </c>
      <c r="G203" s="7">
        <v>477191.59</v>
      </c>
      <c r="H203" s="5" t="s">
        <v>47</v>
      </c>
      <c r="I203" s="5" t="str">
        <f>IF(OR(A203="",B203="",C203="",D203="",F203="",G203=""),"ERROR","OK")</f>
        <v>OK</v>
      </c>
      <c r="J203" s="5" t="str">
        <f>IF(COUNTIF($A$2:$A$241,A203)&gt;1,"DUPLICATE","OK")</f>
        <v>OK</v>
      </c>
      <c r="K203" s="5" t="str">
        <f>IF(NOT(ISNUMBER(G203)),"NOT NUMBER",IF(OR(AND(LEFT(F203,1)="4",G203&gt;=0),AND(LEFT(F203,1)&lt;&gt;"4",G203&lt;=0)),"OK","CHECK"))</f>
        <v>OK</v>
      </c>
    </row>
    <row r="204" spans="1:11">
      <c r="A204" s="5" t="s">
        <v>268</v>
      </c>
      <c r="B204" s="5" t="s">
        <v>266</v>
      </c>
      <c r="C204" s="6">
        <v>46203</v>
      </c>
      <c r="D204" s="5" t="s">
        <v>44</v>
      </c>
      <c r="E204" s="5" t="s">
        <v>45</v>
      </c>
      <c r="F204" s="5" t="s">
        <v>51</v>
      </c>
      <c r="G204" s="7">
        <v>287733.78</v>
      </c>
      <c r="H204" s="5" t="s">
        <v>47</v>
      </c>
      <c r="I204" s="5" t="str">
        <f>IF(OR(A204="",B204="",C204="",D204="",F204="",G204=""),"ERROR","OK")</f>
        <v>OK</v>
      </c>
      <c r="J204" s="5" t="str">
        <f>IF(COUNTIF($A$2:$A$241,A204)&gt;1,"DUPLICATE","OK")</f>
        <v>OK</v>
      </c>
      <c r="K204" s="5" t="str">
        <f>IF(NOT(ISNUMBER(G204)),"NOT NUMBER",IF(OR(AND(LEFT(F204,1)="4",G204&gt;=0),AND(LEFT(F204,1)&lt;&gt;"4",G204&lt;=0)),"OK","CHECK"))</f>
        <v>OK</v>
      </c>
    </row>
    <row r="205" spans="1:11">
      <c r="A205" s="5" t="s">
        <v>269</v>
      </c>
      <c r="B205" s="5" t="s">
        <v>266</v>
      </c>
      <c r="C205" s="6">
        <v>46203</v>
      </c>
      <c r="D205" s="5" t="s">
        <v>44</v>
      </c>
      <c r="E205" s="5" t="s">
        <v>45</v>
      </c>
      <c r="F205" s="5" t="s">
        <v>53</v>
      </c>
      <c r="G205" s="7">
        <v>-480837.41</v>
      </c>
      <c r="H205" s="5" t="s">
        <v>47</v>
      </c>
      <c r="I205" s="5" t="str">
        <f>IF(OR(A205="",B205="",C205="",D205="",F205="",G205=""),"ERROR","OK")</f>
        <v>OK</v>
      </c>
      <c r="J205" s="5" t="str">
        <f>IF(COUNTIF($A$2:$A$241,A205)&gt;1,"DUPLICATE","OK")</f>
        <v>OK</v>
      </c>
      <c r="K205" s="5" t="str">
        <f>IF(NOT(ISNUMBER(G205)),"NOT NUMBER",IF(OR(AND(LEFT(F205,1)="4",G205&gt;=0),AND(LEFT(F205,1)&lt;&gt;"4",G205&lt;=0)),"OK","CHECK"))</f>
        <v>OK</v>
      </c>
    </row>
    <row r="206" spans="1:11">
      <c r="A206" s="5" t="s">
        <v>270</v>
      </c>
      <c r="B206" s="5" t="s">
        <v>266</v>
      </c>
      <c r="C206" s="6">
        <v>46203</v>
      </c>
      <c r="D206" s="5" t="s">
        <v>44</v>
      </c>
      <c r="E206" s="5" t="s">
        <v>45</v>
      </c>
      <c r="F206" s="5" t="s">
        <v>55</v>
      </c>
      <c r="G206" s="7">
        <v>-147975.81</v>
      </c>
      <c r="H206" s="5" t="s">
        <v>47</v>
      </c>
      <c r="I206" s="5" t="str">
        <f>IF(OR(A206="",B206="",C206="",D206="",F206="",G206=""),"ERROR","OK")</f>
        <v>OK</v>
      </c>
      <c r="J206" s="5" t="str">
        <f>IF(COUNTIF($A$2:$A$241,A206)&gt;1,"DUPLICATE","OK")</f>
        <v>OK</v>
      </c>
      <c r="K206" s="5" t="str">
        <f>IF(NOT(ISNUMBER(G206)),"NOT NUMBER",IF(OR(AND(LEFT(F206,1)="4",G206&gt;=0),AND(LEFT(F206,1)&lt;&gt;"4",G206&lt;=0)),"OK","CHECK"))</f>
        <v>OK</v>
      </c>
    </row>
    <row r="207" spans="1:11">
      <c r="A207" s="5" t="s">
        <v>271</v>
      </c>
      <c r="B207" s="5" t="s">
        <v>266</v>
      </c>
      <c r="C207" s="6">
        <v>46203</v>
      </c>
      <c r="D207" s="5" t="s">
        <v>44</v>
      </c>
      <c r="E207" s="5" t="s">
        <v>45</v>
      </c>
      <c r="F207" s="5" t="s">
        <v>57</v>
      </c>
      <c r="G207" s="7">
        <v>-196857.71</v>
      </c>
      <c r="H207" s="5" t="s">
        <v>47</v>
      </c>
      <c r="I207" s="5" t="str">
        <f>IF(OR(A207="",B207="",C207="",D207="",F207="",G207=""),"ERROR","OK")</f>
        <v>OK</v>
      </c>
      <c r="J207" s="5" t="str">
        <f>IF(COUNTIF($A$2:$A$241,A207)&gt;1,"DUPLICATE","OK")</f>
        <v>OK</v>
      </c>
      <c r="K207" s="5" t="str">
        <f>IF(NOT(ISNUMBER(G207)),"NOT NUMBER",IF(OR(AND(LEFT(F207,1)="4",G207&gt;=0),AND(LEFT(F207,1)&lt;&gt;"4",G207&lt;=0)),"OK","CHECK"))</f>
        <v>OK</v>
      </c>
    </row>
    <row r="208" spans="1:11">
      <c r="A208" s="5" t="s">
        <v>272</v>
      </c>
      <c r="B208" s="5" t="s">
        <v>266</v>
      </c>
      <c r="C208" s="6">
        <v>46203</v>
      </c>
      <c r="D208" s="5" t="s">
        <v>44</v>
      </c>
      <c r="E208" s="5" t="s">
        <v>45</v>
      </c>
      <c r="F208" s="5" t="s">
        <v>59</v>
      </c>
      <c r="G208" s="7">
        <v>-388727.86</v>
      </c>
      <c r="H208" s="5" t="s">
        <v>47</v>
      </c>
      <c r="I208" s="5" t="str">
        <f>IF(OR(A208="",B208="",C208="",D208="",F208="",G208=""),"ERROR","OK")</f>
        <v>OK</v>
      </c>
      <c r="J208" s="5" t="str">
        <f>IF(COUNTIF($A$2:$A$241,A208)&gt;1,"DUPLICATE","OK")</f>
        <v>OK</v>
      </c>
      <c r="K208" s="5" t="str">
        <f>IF(NOT(ISNUMBER(G208)),"NOT NUMBER",IF(OR(AND(LEFT(F208,1)="4",G208&gt;=0),AND(LEFT(F208,1)&lt;&gt;"4",G208&lt;=0)),"OK","CHECK"))</f>
        <v>OK</v>
      </c>
    </row>
    <row r="209" spans="1:11">
      <c r="A209" s="5" t="s">
        <v>273</v>
      </c>
      <c r="B209" s="5" t="s">
        <v>266</v>
      </c>
      <c r="C209" s="6">
        <v>46203</v>
      </c>
      <c r="D209" s="5" t="s">
        <v>44</v>
      </c>
      <c r="E209" s="5" t="s">
        <v>45</v>
      </c>
      <c r="F209" s="5" t="s">
        <v>61</v>
      </c>
      <c r="G209" s="7">
        <v>-81177.46000000001</v>
      </c>
      <c r="H209" s="5" t="s">
        <v>47</v>
      </c>
      <c r="I209" s="5" t="str">
        <f>IF(OR(A209="",B209="",C209="",D209="",F209="",G209=""),"ERROR","OK")</f>
        <v>OK</v>
      </c>
      <c r="J209" s="5" t="str">
        <f>IF(COUNTIF($A$2:$A$241,A209)&gt;1,"DUPLICATE","OK")</f>
        <v>OK</v>
      </c>
      <c r="K209" s="5" t="str">
        <f>IF(NOT(ISNUMBER(G209)),"NOT NUMBER",IF(OR(AND(LEFT(F209,1)="4",G209&gt;=0),AND(LEFT(F209,1)&lt;&gt;"4",G209&lt;=0)),"OK","CHECK"))</f>
        <v>OK</v>
      </c>
    </row>
    <row r="210" spans="1:11">
      <c r="A210" s="5" t="s">
        <v>274</v>
      </c>
      <c r="B210" s="5" t="s">
        <v>266</v>
      </c>
      <c r="C210" s="6">
        <v>46203</v>
      </c>
      <c r="D210" s="5" t="s">
        <v>44</v>
      </c>
      <c r="E210" s="5" t="s">
        <v>45</v>
      </c>
      <c r="F210" s="5" t="s">
        <v>63</v>
      </c>
      <c r="G210" s="7">
        <v>-65641.73</v>
      </c>
      <c r="H210" s="5" t="s">
        <v>47</v>
      </c>
      <c r="I210" s="5" t="str">
        <f>IF(OR(A210="",B210="",C210="",D210="",F210="",G210=""),"ERROR","OK")</f>
        <v>OK</v>
      </c>
      <c r="J210" s="5" t="str">
        <f>IF(COUNTIF($A$2:$A$241,A210)&gt;1,"DUPLICATE","OK")</f>
        <v>OK</v>
      </c>
      <c r="K210" s="5" t="str">
        <f>IF(NOT(ISNUMBER(G210)),"NOT NUMBER",IF(OR(AND(LEFT(F210,1)="4",G210&gt;=0),AND(LEFT(F210,1)&lt;&gt;"4",G210&lt;=0)),"OK","CHECK"))</f>
        <v>OK</v>
      </c>
    </row>
    <row r="211" spans="1:11">
      <c r="A211" s="5" t="s">
        <v>275</v>
      </c>
      <c r="B211" s="5" t="s">
        <v>266</v>
      </c>
      <c r="C211" s="6">
        <v>46203</v>
      </c>
      <c r="D211" s="5" t="s">
        <v>44</v>
      </c>
      <c r="E211" s="5" t="s">
        <v>45</v>
      </c>
      <c r="F211" s="5" t="s">
        <v>65</v>
      </c>
      <c r="G211" s="7">
        <v>-52885</v>
      </c>
      <c r="H211" s="5" t="s">
        <v>47</v>
      </c>
      <c r="I211" s="5" t="str">
        <f>IF(OR(A211="",B211="",C211="",D211="",F211="",G211=""),"ERROR","OK")</f>
        <v>OK</v>
      </c>
      <c r="J211" s="5" t="str">
        <f>IF(COUNTIF($A$2:$A$241,A211)&gt;1,"DUPLICATE","OK")</f>
        <v>OK</v>
      </c>
      <c r="K211" s="5" t="str">
        <f>IF(NOT(ISNUMBER(G211)),"NOT NUMBER",IF(OR(AND(LEFT(F211,1)="4",G211&gt;=0),AND(LEFT(F211,1)&lt;&gt;"4",G211&lt;=0)),"OK","CHECK"))</f>
        <v>OK</v>
      </c>
    </row>
    <row r="212" spans="1:11">
      <c r="A212" s="5" t="s">
        <v>276</v>
      </c>
      <c r="B212" s="5" t="s">
        <v>266</v>
      </c>
      <c r="C212" s="6">
        <v>46203</v>
      </c>
      <c r="D212" s="5" t="s">
        <v>67</v>
      </c>
      <c r="E212" s="5" t="s">
        <v>68</v>
      </c>
      <c r="F212" s="5" t="s">
        <v>46</v>
      </c>
      <c r="G212" s="7">
        <v>627043.2</v>
      </c>
      <c r="H212" s="5" t="s">
        <v>47</v>
      </c>
      <c r="I212" s="5" t="str">
        <f>IF(OR(A212="",B212="",C212="",D212="",F212="",G212=""),"ERROR","OK")</f>
        <v>OK</v>
      </c>
      <c r="J212" s="5" t="str">
        <f>IF(COUNTIF($A$2:$A$241,A212)&gt;1,"DUPLICATE","OK")</f>
        <v>OK</v>
      </c>
      <c r="K212" s="5" t="str">
        <f>IF(NOT(ISNUMBER(G212)),"NOT NUMBER",IF(OR(AND(LEFT(F212,1)="4",G212&gt;=0),AND(LEFT(F212,1)&lt;&gt;"4",G212&lt;=0)),"OK","CHECK"))</f>
        <v>OK</v>
      </c>
    </row>
    <row r="213" spans="1:11">
      <c r="A213" s="5" t="s">
        <v>277</v>
      </c>
      <c r="B213" s="5" t="s">
        <v>266</v>
      </c>
      <c r="C213" s="6">
        <v>46203</v>
      </c>
      <c r="D213" s="5" t="s">
        <v>67</v>
      </c>
      <c r="E213" s="5" t="s">
        <v>68</v>
      </c>
      <c r="F213" s="5" t="s">
        <v>49</v>
      </c>
      <c r="G213" s="7">
        <v>317124.11</v>
      </c>
      <c r="H213" s="5" t="s">
        <v>47</v>
      </c>
      <c r="I213" s="5" t="str">
        <f>IF(OR(A213="",B213="",C213="",D213="",F213="",G213=""),"ERROR","OK")</f>
        <v>OK</v>
      </c>
      <c r="J213" s="5" t="str">
        <f>IF(COUNTIF($A$2:$A$241,A213)&gt;1,"DUPLICATE","OK")</f>
        <v>OK</v>
      </c>
      <c r="K213" s="5" t="str">
        <f>IF(NOT(ISNUMBER(G213)),"NOT NUMBER",IF(OR(AND(LEFT(F213,1)="4",G213&gt;=0),AND(LEFT(F213,1)&lt;&gt;"4",G213&lt;=0)),"OK","CHECK"))</f>
        <v>OK</v>
      </c>
    </row>
    <row r="214" spans="1:11">
      <c r="A214" s="5" t="s">
        <v>278</v>
      </c>
      <c r="B214" s="5" t="s">
        <v>266</v>
      </c>
      <c r="C214" s="6">
        <v>46203</v>
      </c>
      <c r="D214" s="5" t="s">
        <v>67</v>
      </c>
      <c r="E214" s="5" t="s">
        <v>68</v>
      </c>
      <c r="F214" s="5" t="s">
        <v>51</v>
      </c>
      <c r="G214" s="7">
        <v>185198.39</v>
      </c>
      <c r="H214" s="5" t="s">
        <v>47</v>
      </c>
      <c r="I214" s="5" t="str">
        <f>IF(OR(A214="",B214="",C214="",D214="",F214="",G214=""),"ERROR","OK")</f>
        <v>OK</v>
      </c>
      <c r="J214" s="5" t="str">
        <f>IF(COUNTIF($A$2:$A$241,A214)&gt;1,"DUPLICATE","OK")</f>
        <v>OK</v>
      </c>
      <c r="K214" s="5" t="str">
        <f>IF(NOT(ISNUMBER(G214)),"NOT NUMBER",IF(OR(AND(LEFT(F214,1)="4",G214&gt;=0),AND(LEFT(F214,1)&lt;&gt;"4",G214&lt;=0)),"OK","CHECK"))</f>
        <v>OK</v>
      </c>
    </row>
    <row r="215" spans="1:11">
      <c r="A215" s="5" t="s">
        <v>279</v>
      </c>
      <c r="B215" s="5" t="s">
        <v>266</v>
      </c>
      <c r="C215" s="6">
        <v>46203</v>
      </c>
      <c r="D215" s="5" t="s">
        <v>67</v>
      </c>
      <c r="E215" s="5" t="s">
        <v>68</v>
      </c>
      <c r="F215" s="5" t="s">
        <v>53</v>
      </c>
      <c r="G215" s="7">
        <v>-295330.29</v>
      </c>
      <c r="H215" s="5" t="s">
        <v>47</v>
      </c>
      <c r="I215" s="5" t="str">
        <f>IF(OR(A215="",B215="",C215="",D215="",F215="",G215=""),"ERROR","OK")</f>
        <v>OK</v>
      </c>
      <c r="J215" s="5" t="str">
        <f>IF(COUNTIF($A$2:$A$241,A215)&gt;1,"DUPLICATE","OK")</f>
        <v>OK</v>
      </c>
      <c r="K215" s="5" t="str">
        <f>IF(NOT(ISNUMBER(G215)),"NOT NUMBER",IF(OR(AND(LEFT(F215,1)="4",G215&gt;=0),AND(LEFT(F215,1)&lt;&gt;"4",G215&lt;=0)),"OK","CHECK"))</f>
        <v>OK</v>
      </c>
    </row>
    <row r="216" spans="1:11">
      <c r="A216" s="5" t="s">
        <v>280</v>
      </c>
      <c r="B216" s="5" t="s">
        <v>266</v>
      </c>
      <c r="C216" s="6">
        <v>46203</v>
      </c>
      <c r="D216" s="5" t="s">
        <v>67</v>
      </c>
      <c r="E216" s="5" t="s">
        <v>68</v>
      </c>
      <c r="F216" s="5" t="s">
        <v>55</v>
      </c>
      <c r="G216" s="7">
        <v>-95512.69</v>
      </c>
      <c r="H216" s="5" t="s">
        <v>47</v>
      </c>
      <c r="I216" s="5" t="str">
        <f>IF(OR(A216="",B216="",C216="",D216="",F216="",G216=""),"ERROR","OK")</f>
        <v>OK</v>
      </c>
      <c r="J216" s="5" t="str">
        <f>IF(COUNTIF($A$2:$A$241,A216)&gt;1,"DUPLICATE","OK")</f>
        <v>OK</v>
      </c>
      <c r="K216" s="5" t="str">
        <f>IF(NOT(ISNUMBER(G216)),"NOT NUMBER",IF(OR(AND(LEFT(F216,1)="4",G216&gt;=0),AND(LEFT(F216,1)&lt;&gt;"4",G216&lt;=0)),"OK","CHECK"))</f>
        <v>OK</v>
      </c>
    </row>
    <row r="217" spans="1:11">
      <c r="A217" s="5" t="s">
        <v>281</v>
      </c>
      <c r="B217" s="5" t="s">
        <v>266</v>
      </c>
      <c r="C217" s="6">
        <v>46203</v>
      </c>
      <c r="D217" s="5" t="s">
        <v>67</v>
      </c>
      <c r="E217" s="5" t="s">
        <v>68</v>
      </c>
      <c r="F217" s="5" t="s">
        <v>57</v>
      </c>
      <c r="G217" s="7">
        <v>-116136.4</v>
      </c>
      <c r="H217" s="5" t="s">
        <v>47</v>
      </c>
      <c r="I217" s="5" t="str">
        <f>IF(OR(A217="",B217="",C217="",D217="",F217="",G217=""),"ERROR","OK")</f>
        <v>OK</v>
      </c>
      <c r="J217" s="5" t="str">
        <f>IF(COUNTIF($A$2:$A$241,A217)&gt;1,"DUPLICATE","OK")</f>
        <v>OK</v>
      </c>
      <c r="K217" s="5" t="str">
        <f>IF(NOT(ISNUMBER(G217)),"NOT NUMBER",IF(OR(AND(LEFT(F217,1)="4",G217&gt;=0),AND(LEFT(F217,1)&lt;&gt;"4",G217&lt;=0)),"OK","CHECK"))</f>
        <v>OK</v>
      </c>
    </row>
    <row r="218" spans="1:11">
      <c r="A218" s="5" t="s">
        <v>282</v>
      </c>
      <c r="B218" s="5" t="s">
        <v>266</v>
      </c>
      <c r="C218" s="6">
        <v>46203</v>
      </c>
      <c r="D218" s="5" t="s">
        <v>67</v>
      </c>
      <c r="E218" s="5" t="s">
        <v>68</v>
      </c>
      <c r="F218" s="5" t="s">
        <v>59</v>
      </c>
      <c r="G218" s="7">
        <v>-280922.03</v>
      </c>
      <c r="H218" s="5" t="s">
        <v>47</v>
      </c>
      <c r="I218" s="5" t="str">
        <f>IF(OR(A218="",B218="",C218="",D218="",F218="",G218=""),"ERROR","OK")</f>
        <v>OK</v>
      </c>
      <c r="J218" s="5" t="str">
        <f>IF(COUNTIF($A$2:$A$241,A218)&gt;1,"DUPLICATE","OK")</f>
        <v>OK</v>
      </c>
      <c r="K218" s="5" t="str">
        <f>IF(NOT(ISNUMBER(G218)),"NOT NUMBER",IF(OR(AND(LEFT(F218,1)="4",G218&gt;=0),AND(LEFT(F218,1)&lt;&gt;"4",G218&lt;=0)),"OK","CHECK"))</f>
        <v>OK</v>
      </c>
    </row>
    <row r="219" spans="1:11">
      <c r="A219" s="5" t="s">
        <v>283</v>
      </c>
      <c r="B219" s="5" t="s">
        <v>266</v>
      </c>
      <c r="C219" s="6">
        <v>46203</v>
      </c>
      <c r="D219" s="5" t="s">
        <v>67</v>
      </c>
      <c r="E219" s="5" t="s">
        <v>68</v>
      </c>
      <c r="F219" s="5" t="s">
        <v>61</v>
      </c>
      <c r="G219" s="7">
        <v>-54786.12</v>
      </c>
      <c r="H219" s="5" t="s">
        <v>47</v>
      </c>
      <c r="I219" s="5" t="str">
        <f>IF(OR(A219="",B219="",C219="",D219="",F219="",G219=""),"ERROR","OK")</f>
        <v>OK</v>
      </c>
      <c r="J219" s="5" t="str">
        <f>IF(COUNTIF($A$2:$A$241,A219)&gt;1,"DUPLICATE","OK")</f>
        <v>OK</v>
      </c>
      <c r="K219" s="5" t="str">
        <f>IF(NOT(ISNUMBER(G219)),"NOT NUMBER",IF(OR(AND(LEFT(F219,1)="4",G219&gt;=0),AND(LEFT(F219,1)&lt;&gt;"4",G219&lt;=0)),"OK","CHECK"))</f>
        <v>OK</v>
      </c>
    </row>
    <row r="220" spans="1:11">
      <c r="A220" s="5" t="s">
        <v>284</v>
      </c>
      <c r="B220" s="5" t="s">
        <v>266</v>
      </c>
      <c r="C220" s="6">
        <v>46203</v>
      </c>
      <c r="D220" s="5" t="s">
        <v>67</v>
      </c>
      <c r="E220" s="5" t="s">
        <v>68</v>
      </c>
      <c r="F220" s="5" t="s">
        <v>63</v>
      </c>
      <c r="G220" s="7">
        <v>-42160</v>
      </c>
      <c r="H220" s="5" t="s">
        <v>47</v>
      </c>
      <c r="I220" s="5" t="str">
        <f>IF(OR(A220="",B220="",C220="",D220="",F220="",G220=""),"ERROR","OK")</f>
        <v>OK</v>
      </c>
      <c r="J220" s="5" t="str">
        <f>IF(COUNTIF($A$2:$A$241,A220)&gt;1,"DUPLICATE","OK")</f>
        <v>OK</v>
      </c>
      <c r="K220" s="5" t="str">
        <f>IF(NOT(ISNUMBER(G220)),"NOT NUMBER",IF(OR(AND(LEFT(F220,1)="4",G220&gt;=0),AND(LEFT(F220,1)&lt;&gt;"4",G220&lt;=0)),"OK","CHECK"))</f>
        <v>OK</v>
      </c>
    </row>
    <row r="221" spans="1:11">
      <c r="A221" s="5" t="s">
        <v>285</v>
      </c>
      <c r="B221" s="5" t="s">
        <v>266</v>
      </c>
      <c r="C221" s="6">
        <v>46203</v>
      </c>
      <c r="D221" s="5" t="s">
        <v>67</v>
      </c>
      <c r="E221" s="5" t="s">
        <v>68</v>
      </c>
      <c r="F221" s="5" t="s">
        <v>65</v>
      </c>
      <c r="G221" s="7">
        <v>-33608.74</v>
      </c>
      <c r="H221" s="5" t="s">
        <v>47</v>
      </c>
      <c r="I221" s="5" t="str">
        <f>IF(OR(A221="",B221="",C221="",D221="",F221="",G221=""),"ERROR","OK")</f>
        <v>OK</v>
      </c>
      <c r="J221" s="5" t="str">
        <f>IF(COUNTIF($A$2:$A$241,A221)&gt;1,"DUPLICATE","OK")</f>
        <v>OK</v>
      </c>
      <c r="K221" s="5" t="str">
        <f>IF(NOT(ISNUMBER(G221)),"NOT NUMBER",IF(OR(AND(LEFT(F221,1)="4",G221&gt;=0),AND(LEFT(F221,1)&lt;&gt;"4",G221&lt;=0)),"OK","CHECK"))</f>
        <v>OK</v>
      </c>
    </row>
    <row r="222" spans="1:11">
      <c r="A222" s="5" t="s">
        <v>286</v>
      </c>
      <c r="B222" s="5" t="s">
        <v>266</v>
      </c>
      <c r="C222" s="6">
        <v>46203</v>
      </c>
      <c r="D222" s="5" t="s">
        <v>79</v>
      </c>
      <c r="E222" s="5" t="s">
        <v>45</v>
      </c>
      <c r="F222" s="5" t="s">
        <v>46</v>
      </c>
      <c r="G222" s="7">
        <v>1008569.15</v>
      </c>
      <c r="H222" s="5" t="s">
        <v>47</v>
      </c>
      <c r="I222" s="5" t="str">
        <f>IF(OR(A222="",B222="",C222="",D222="",F222="",G222=""),"ERROR","OK")</f>
        <v>OK</v>
      </c>
      <c r="J222" s="5" t="str">
        <f>IF(COUNTIF($A$2:$A$241,A222)&gt;1,"DUPLICATE","OK")</f>
        <v>OK</v>
      </c>
      <c r="K222" s="5" t="str">
        <f>IF(NOT(ISNUMBER(G222)),"NOT NUMBER",IF(OR(AND(LEFT(F222,1)="4",G222&gt;=0),AND(LEFT(F222,1)&lt;&gt;"4",G222&lt;=0)),"OK","CHECK"))</f>
        <v>OK</v>
      </c>
    </row>
    <row r="223" spans="1:11">
      <c r="A223" s="5" t="s">
        <v>287</v>
      </c>
      <c r="B223" s="5" t="s">
        <v>266</v>
      </c>
      <c r="C223" s="6">
        <v>46203</v>
      </c>
      <c r="D223" s="5" t="s">
        <v>79</v>
      </c>
      <c r="E223" s="5" t="s">
        <v>45</v>
      </c>
      <c r="F223" s="5" t="s">
        <v>49</v>
      </c>
      <c r="G223" s="7">
        <v>525156.87</v>
      </c>
      <c r="H223" s="5" t="s">
        <v>47</v>
      </c>
      <c r="I223" s="5" t="str">
        <f>IF(OR(A223="",B223="",C223="",D223="",F223="",G223=""),"ERROR","OK")</f>
        <v>OK</v>
      </c>
      <c r="J223" s="5" t="str">
        <f>IF(COUNTIF($A$2:$A$241,A223)&gt;1,"DUPLICATE","OK")</f>
        <v>OK</v>
      </c>
      <c r="K223" s="5" t="str">
        <f>IF(NOT(ISNUMBER(G223)),"NOT NUMBER",IF(OR(AND(LEFT(F223,1)="4",G223&gt;=0),AND(LEFT(F223,1)&lt;&gt;"4",G223&lt;=0)),"OK","CHECK"))</f>
        <v>OK</v>
      </c>
    </row>
    <row r="224" spans="1:11">
      <c r="A224" s="5" t="s">
        <v>288</v>
      </c>
      <c r="B224" s="5" t="s">
        <v>266</v>
      </c>
      <c r="C224" s="6">
        <v>46203</v>
      </c>
      <c r="D224" s="5" t="s">
        <v>79</v>
      </c>
      <c r="E224" s="5" t="s">
        <v>45</v>
      </c>
      <c r="F224" s="5" t="s">
        <v>51</v>
      </c>
      <c r="G224" s="7">
        <v>314065.53</v>
      </c>
      <c r="H224" s="5" t="s">
        <v>47</v>
      </c>
      <c r="I224" s="5" t="str">
        <f>IF(OR(A224="",B224="",C224="",D224="",F224="",G224=""),"ERROR","OK")</f>
        <v>OK</v>
      </c>
      <c r="J224" s="5" t="str">
        <f>IF(COUNTIF($A$2:$A$241,A224)&gt;1,"DUPLICATE","OK")</f>
        <v>OK</v>
      </c>
      <c r="K224" s="5" t="str">
        <f>IF(NOT(ISNUMBER(G224)),"NOT NUMBER",IF(OR(AND(LEFT(F224,1)="4",G224&gt;=0),AND(LEFT(F224,1)&lt;&gt;"4",G224&lt;=0)),"OK","CHECK"))</f>
        <v>OK</v>
      </c>
    </row>
    <row r="225" spans="1:11">
      <c r="A225" s="5" t="s">
        <v>289</v>
      </c>
      <c r="B225" s="5" t="s">
        <v>266</v>
      </c>
      <c r="C225" s="6">
        <v>46203</v>
      </c>
      <c r="D225" s="5" t="s">
        <v>79</v>
      </c>
      <c r="E225" s="5" t="s">
        <v>45</v>
      </c>
      <c r="F225" s="5" t="s">
        <v>53</v>
      </c>
      <c r="G225" s="7">
        <v>-536708.62</v>
      </c>
      <c r="H225" s="5" t="s">
        <v>47</v>
      </c>
      <c r="I225" s="5" t="str">
        <f>IF(OR(A225="",B225="",C225="",D225="",F225="",G225=""),"ERROR","OK")</f>
        <v>OK</v>
      </c>
      <c r="J225" s="5" t="str">
        <f>IF(COUNTIF($A$2:$A$241,A225)&gt;1,"DUPLICATE","OK")</f>
        <v>OK</v>
      </c>
      <c r="K225" s="5" t="str">
        <f>IF(NOT(ISNUMBER(G225)),"NOT NUMBER",IF(OR(AND(LEFT(F225,1)="4",G225&gt;=0),AND(LEFT(F225,1)&lt;&gt;"4",G225&lt;=0)),"OK","CHECK"))</f>
        <v>OK</v>
      </c>
    </row>
    <row r="226" spans="1:11">
      <c r="A226" s="5" t="s">
        <v>290</v>
      </c>
      <c r="B226" s="5" t="s">
        <v>266</v>
      </c>
      <c r="C226" s="6">
        <v>46203</v>
      </c>
      <c r="D226" s="5" t="s">
        <v>79</v>
      </c>
      <c r="E226" s="5" t="s">
        <v>45</v>
      </c>
      <c r="F226" s="5" t="s">
        <v>55</v>
      </c>
      <c r="G226" s="7">
        <v>-161736.46</v>
      </c>
      <c r="H226" s="5" t="s">
        <v>47</v>
      </c>
      <c r="I226" s="5" t="str">
        <f>IF(OR(A226="",B226="",C226="",D226="",F226="",G226=""),"ERROR","OK")</f>
        <v>OK</v>
      </c>
      <c r="J226" s="5" t="str">
        <f>IF(COUNTIF($A$2:$A$241,A226)&gt;1,"DUPLICATE","OK")</f>
        <v>OK</v>
      </c>
      <c r="K226" s="5" t="str">
        <f>IF(NOT(ISNUMBER(G226)),"NOT NUMBER",IF(OR(AND(LEFT(F226,1)="4",G226&gt;=0),AND(LEFT(F226,1)&lt;&gt;"4",G226&lt;=0)),"OK","CHECK"))</f>
        <v>OK</v>
      </c>
    </row>
    <row r="227" spans="1:11">
      <c r="A227" s="5" t="s">
        <v>291</v>
      </c>
      <c r="B227" s="5" t="s">
        <v>266</v>
      </c>
      <c r="C227" s="6">
        <v>46203</v>
      </c>
      <c r="D227" s="5" t="s">
        <v>79</v>
      </c>
      <c r="E227" s="5" t="s">
        <v>45</v>
      </c>
      <c r="F227" s="5" t="s">
        <v>57</v>
      </c>
      <c r="G227" s="7">
        <v>-212087.92</v>
      </c>
      <c r="H227" s="5" t="s">
        <v>47</v>
      </c>
      <c r="I227" s="5" t="str">
        <f>IF(OR(A227="",B227="",C227="",D227="",F227="",G227=""),"ERROR","OK")</f>
        <v>OK</v>
      </c>
      <c r="J227" s="5" t="str">
        <f>IF(COUNTIF($A$2:$A$241,A227)&gt;1,"DUPLICATE","OK")</f>
        <v>OK</v>
      </c>
      <c r="K227" s="5" t="str">
        <f>IF(NOT(ISNUMBER(G227)),"NOT NUMBER",IF(OR(AND(LEFT(F227,1)="4",G227&gt;=0),AND(LEFT(F227,1)&lt;&gt;"4",G227&lt;=0)),"OK","CHECK"))</f>
        <v>OK</v>
      </c>
    </row>
    <row r="228" spans="1:11">
      <c r="A228" s="5" t="s">
        <v>292</v>
      </c>
      <c r="B228" s="5" t="s">
        <v>266</v>
      </c>
      <c r="C228" s="6">
        <v>46203</v>
      </c>
      <c r="D228" s="5" t="s">
        <v>79</v>
      </c>
      <c r="E228" s="5" t="s">
        <v>45</v>
      </c>
      <c r="F228" s="5" t="s">
        <v>59</v>
      </c>
      <c r="G228" s="7">
        <v>-465274.1</v>
      </c>
      <c r="H228" s="5" t="s">
        <v>47</v>
      </c>
      <c r="I228" s="5" t="str">
        <f>IF(OR(A228="",B228="",C228="",D228="",F228="",G228=""),"ERROR","OK")</f>
        <v>OK</v>
      </c>
      <c r="J228" s="5" t="str">
        <f>IF(COUNTIF($A$2:$A$241,A228)&gt;1,"DUPLICATE","OK")</f>
        <v>OK</v>
      </c>
      <c r="K228" s="5" t="str">
        <f>IF(NOT(ISNUMBER(G228)),"NOT NUMBER",IF(OR(AND(LEFT(F228,1)="4",G228&gt;=0),AND(LEFT(F228,1)&lt;&gt;"4",G228&lt;=0)),"OK","CHECK"))</f>
        <v>OK</v>
      </c>
    </row>
    <row r="229" spans="1:11">
      <c r="A229" s="5" t="s">
        <v>293</v>
      </c>
      <c r="B229" s="5" t="s">
        <v>266</v>
      </c>
      <c r="C229" s="6">
        <v>46203</v>
      </c>
      <c r="D229" s="5" t="s">
        <v>79</v>
      </c>
      <c r="E229" s="5" t="s">
        <v>45</v>
      </c>
      <c r="F229" s="5" t="s">
        <v>61</v>
      </c>
      <c r="G229" s="7">
        <v>-93564.34</v>
      </c>
      <c r="H229" s="5" t="s">
        <v>47</v>
      </c>
      <c r="I229" s="5" t="str">
        <f>IF(OR(A229="",B229="",C229="",D229="",F229="",G229=""),"ERROR","OK")</f>
        <v>OK</v>
      </c>
      <c r="J229" s="5" t="str">
        <f>IF(COUNTIF($A$2:$A$241,A229)&gt;1,"DUPLICATE","OK")</f>
        <v>OK</v>
      </c>
      <c r="K229" s="5" t="str">
        <f>IF(NOT(ISNUMBER(G229)),"NOT NUMBER",IF(OR(AND(LEFT(F229,1)="4",G229&gt;=0),AND(LEFT(F229,1)&lt;&gt;"4",G229&lt;=0)),"OK","CHECK"))</f>
        <v>OK</v>
      </c>
    </row>
    <row r="230" spans="1:11">
      <c r="A230" s="5" t="s">
        <v>294</v>
      </c>
      <c r="B230" s="5" t="s">
        <v>266</v>
      </c>
      <c r="C230" s="6">
        <v>46203</v>
      </c>
      <c r="D230" s="5" t="s">
        <v>79</v>
      </c>
      <c r="E230" s="5" t="s">
        <v>45</v>
      </c>
      <c r="F230" s="5" t="s">
        <v>63</v>
      </c>
      <c r="G230" s="7">
        <v>-73863.42999999999</v>
      </c>
      <c r="H230" s="5" t="s">
        <v>47</v>
      </c>
      <c r="I230" s="5" t="str">
        <f>IF(OR(A230="",B230="",C230="",D230="",F230="",G230=""),"ERROR","OK")</f>
        <v>OK</v>
      </c>
      <c r="J230" s="5" t="str">
        <f>IF(COUNTIF($A$2:$A$241,A230)&gt;1,"DUPLICATE","OK")</f>
        <v>OK</v>
      </c>
      <c r="K230" s="5" t="str">
        <f>IF(NOT(ISNUMBER(G230)),"NOT NUMBER",IF(OR(AND(LEFT(F230,1)="4",G230&gt;=0),AND(LEFT(F230,1)&lt;&gt;"4",G230&lt;=0)),"OK","CHECK"))</f>
        <v>OK</v>
      </c>
    </row>
    <row r="231" spans="1:11">
      <c r="A231" s="5" t="s">
        <v>295</v>
      </c>
      <c r="B231" s="5" t="s">
        <v>266</v>
      </c>
      <c r="C231" s="6">
        <v>46203</v>
      </c>
      <c r="D231" s="5" t="s">
        <v>79</v>
      </c>
      <c r="E231" s="5" t="s">
        <v>45</v>
      </c>
      <c r="F231" s="5" t="s">
        <v>65</v>
      </c>
      <c r="G231" s="7">
        <v>-58926.53</v>
      </c>
      <c r="H231" s="5" t="s">
        <v>47</v>
      </c>
      <c r="I231" s="5" t="str">
        <f>IF(OR(A231="",B231="",C231="",D231="",F231="",G231=""),"ERROR","OK")</f>
        <v>OK</v>
      </c>
      <c r="J231" s="5" t="str">
        <f>IF(COUNTIF($A$2:$A$241,A231)&gt;1,"DUPLICATE","OK")</f>
        <v>OK</v>
      </c>
      <c r="K231" s="5" t="str">
        <f>IF(NOT(ISNUMBER(G231)),"NOT NUMBER",IF(OR(AND(LEFT(F231,1)="4",G231&gt;=0),AND(LEFT(F231,1)&lt;&gt;"4",G231&lt;=0)),"OK","CHECK"))</f>
        <v>OK</v>
      </c>
    </row>
    <row r="232" spans="1:11">
      <c r="A232" s="5" t="s">
        <v>296</v>
      </c>
      <c r="B232" s="5" t="s">
        <v>266</v>
      </c>
      <c r="C232" s="6">
        <v>46203</v>
      </c>
      <c r="D232" s="5" t="s">
        <v>90</v>
      </c>
      <c r="E232" s="5" t="s">
        <v>91</v>
      </c>
      <c r="F232" s="5" t="s">
        <v>46</v>
      </c>
      <c r="G232" s="7">
        <v>378122.61</v>
      </c>
      <c r="H232" s="5" t="s">
        <v>47</v>
      </c>
      <c r="I232" s="5" t="str">
        <f>IF(OR(A232="",B232="",C232="",D232="",F232="",G232=""),"ERROR","OK")</f>
        <v>OK</v>
      </c>
      <c r="J232" s="5" t="str">
        <f>IF(COUNTIF($A$2:$A$241,A232)&gt;1,"DUPLICATE","OK")</f>
        <v>OK</v>
      </c>
      <c r="K232" s="5" t="str">
        <f>IF(NOT(ISNUMBER(G232)),"NOT NUMBER",IF(OR(AND(LEFT(F232,1)="4",G232&gt;=0),AND(LEFT(F232,1)&lt;&gt;"4",G232&lt;=0)),"OK","CHECK"))</f>
        <v>OK</v>
      </c>
    </row>
    <row r="233" spans="1:11">
      <c r="A233" s="5" t="s">
        <v>297</v>
      </c>
      <c r="B233" s="5" t="s">
        <v>266</v>
      </c>
      <c r="C233" s="6">
        <v>46203</v>
      </c>
      <c r="D233" s="5" t="s">
        <v>90</v>
      </c>
      <c r="E233" s="5" t="s">
        <v>91</v>
      </c>
      <c r="F233" s="5" t="s">
        <v>49</v>
      </c>
      <c r="G233" s="7">
        <v>189150.08</v>
      </c>
      <c r="H233" s="5" t="s">
        <v>47</v>
      </c>
      <c r="I233" s="5" t="str">
        <f>IF(OR(A233="",B233="",C233="",D233="",F233="",G233=""),"ERROR","OK")</f>
        <v>OK</v>
      </c>
      <c r="J233" s="5" t="str">
        <f>IF(COUNTIF($A$2:$A$241,A233)&gt;1,"DUPLICATE","OK")</f>
        <v>OK</v>
      </c>
      <c r="K233" s="5" t="str">
        <f>IF(NOT(ISNUMBER(G233)),"NOT NUMBER",IF(OR(AND(LEFT(F233,1)="4",G233&gt;=0),AND(LEFT(F233,1)&lt;&gt;"4",G233&lt;=0)),"OK","CHECK"))</f>
        <v>OK</v>
      </c>
    </row>
    <row r="234" spans="1:11">
      <c r="A234" s="5" t="s">
        <v>298</v>
      </c>
      <c r="B234" s="5" t="s">
        <v>266</v>
      </c>
      <c r="C234" s="6">
        <v>46203</v>
      </c>
      <c r="D234" s="5" t="s">
        <v>90</v>
      </c>
      <c r="E234" s="5" t="s">
        <v>91</v>
      </c>
      <c r="F234" s="5" t="s">
        <v>51</v>
      </c>
      <c r="G234" s="7">
        <v>114313.04</v>
      </c>
      <c r="H234" s="5" t="s">
        <v>47</v>
      </c>
      <c r="I234" s="5" t="str">
        <f>IF(OR(A234="",B234="",C234="",D234="",F234="",G234=""),"ERROR","OK")</f>
        <v>OK</v>
      </c>
      <c r="J234" s="5" t="str">
        <f>IF(COUNTIF($A$2:$A$241,A234)&gt;1,"DUPLICATE","OK")</f>
        <v>OK</v>
      </c>
      <c r="K234" s="5" t="str">
        <f>IF(NOT(ISNUMBER(G234)),"NOT NUMBER",IF(OR(AND(LEFT(F234,1)="4",G234&gt;=0),AND(LEFT(F234,1)&lt;&gt;"4",G234&lt;=0)),"OK","CHECK"))</f>
        <v>OK</v>
      </c>
    </row>
    <row r="235" spans="1:11">
      <c r="A235" s="5" t="s">
        <v>299</v>
      </c>
      <c r="B235" s="5" t="s">
        <v>266</v>
      </c>
      <c r="C235" s="6">
        <v>46203</v>
      </c>
      <c r="D235" s="5" t="s">
        <v>90</v>
      </c>
      <c r="E235" s="5" t="s">
        <v>91</v>
      </c>
      <c r="F235" s="5" t="s">
        <v>53</v>
      </c>
      <c r="G235" s="7">
        <v>-187051.04</v>
      </c>
      <c r="H235" s="5" t="s">
        <v>47</v>
      </c>
      <c r="I235" s="5" t="str">
        <f>IF(OR(A235="",B235="",C235="",D235="",F235="",G235=""),"ERROR","OK")</f>
        <v>OK</v>
      </c>
      <c r="J235" s="5" t="str">
        <f>IF(COUNTIF($A$2:$A$241,A235)&gt;1,"DUPLICATE","OK")</f>
        <v>OK</v>
      </c>
      <c r="K235" s="5" t="str">
        <f>IF(NOT(ISNUMBER(G235)),"NOT NUMBER",IF(OR(AND(LEFT(F235,1)="4",G235&gt;=0),AND(LEFT(F235,1)&lt;&gt;"4",G235&lt;=0)),"OK","CHECK"))</f>
        <v>OK</v>
      </c>
    </row>
    <row r="236" spans="1:11">
      <c r="A236" s="5" t="s">
        <v>300</v>
      </c>
      <c r="B236" s="5" t="s">
        <v>266</v>
      </c>
      <c r="C236" s="6">
        <v>46203</v>
      </c>
      <c r="D236" s="5" t="s">
        <v>90</v>
      </c>
      <c r="E236" s="5" t="s">
        <v>91</v>
      </c>
      <c r="F236" s="5" t="s">
        <v>55</v>
      </c>
      <c r="G236" s="7">
        <v>-58085.63</v>
      </c>
      <c r="H236" s="5" t="s">
        <v>47</v>
      </c>
      <c r="I236" s="5" t="str">
        <f>IF(OR(A236="",B236="",C236="",D236="",F236="",G236=""),"ERROR","OK")</f>
        <v>OK</v>
      </c>
      <c r="J236" s="5" t="str">
        <f>IF(COUNTIF($A$2:$A$241,A236)&gt;1,"DUPLICATE","OK")</f>
        <v>OK</v>
      </c>
      <c r="K236" s="5" t="str">
        <f>IF(NOT(ISNUMBER(G236)),"NOT NUMBER",IF(OR(AND(LEFT(F236,1)="4",G236&gt;=0),AND(LEFT(F236,1)&lt;&gt;"4",G236&lt;=0)),"OK","CHECK"))</f>
        <v>OK</v>
      </c>
    </row>
    <row r="237" spans="1:11">
      <c r="A237" s="5" t="s">
        <v>301</v>
      </c>
      <c r="B237" s="5" t="s">
        <v>266</v>
      </c>
      <c r="C237" s="6">
        <v>46203</v>
      </c>
      <c r="D237" s="5" t="s">
        <v>90</v>
      </c>
      <c r="E237" s="5" t="s">
        <v>91</v>
      </c>
      <c r="F237" s="5" t="s">
        <v>57</v>
      </c>
      <c r="G237" s="7">
        <v>-71961.5</v>
      </c>
      <c r="H237" s="5" t="s">
        <v>47</v>
      </c>
      <c r="I237" s="5" t="str">
        <f>IF(OR(A237="",B237="",C237="",D237="",F237="",G237=""),"ERROR","OK")</f>
        <v>OK</v>
      </c>
      <c r="J237" s="5" t="str">
        <f>IF(COUNTIF($A$2:$A$241,A237)&gt;1,"DUPLICATE","OK")</f>
        <v>OK</v>
      </c>
      <c r="K237" s="5" t="str">
        <f>IF(NOT(ISNUMBER(G237)),"NOT NUMBER",IF(OR(AND(LEFT(F237,1)="4",G237&gt;=0),AND(LEFT(F237,1)&lt;&gt;"4",G237&lt;=0)),"OK","CHECK"))</f>
        <v>OK</v>
      </c>
    </row>
    <row r="238" spans="1:11">
      <c r="A238" s="5" t="s">
        <v>302</v>
      </c>
      <c r="B238" s="5" t="s">
        <v>266</v>
      </c>
      <c r="C238" s="6">
        <v>46203</v>
      </c>
      <c r="D238" s="5" t="s">
        <v>90</v>
      </c>
      <c r="E238" s="5" t="s">
        <v>91</v>
      </c>
      <c r="F238" s="5" t="s">
        <v>59</v>
      </c>
      <c r="G238" s="7">
        <v>-175224.33</v>
      </c>
      <c r="H238" s="5" t="s">
        <v>47</v>
      </c>
      <c r="I238" s="5" t="str">
        <f>IF(OR(A238="",B238="",C238="",D238="",F238="",G238=""),"ERROR","OK")</f>
        <v>OK</v>
      </c>
      <c r="J238" s="5" t="str">
        <f>IF(COUNTIF($A$2:$A$241,A238)&gt;1,"DUPLICATE","OK")</f>
        <v>OK</v>
      </c>
      <c r="K238" s="5" t="str">
        <f>IF(NOT(ISNUMBER(G238)),"NOT NUMBER",IF(OR(AND(LEFT(F238,1)="4",G238&gt;=0),AND(LEFT(F238,1)&lt;&gt;"4",G238&lt;=0)),"OK","CHECK"))</f>
        <v>OK</v>
      </c>
    </row>
    <row r="239" spans="1:11">
      <c r="A239" s="5" t="s">
        <v>303</v>
      </c>
      <c r="B239" s="5" t="s">
        <v>266</v>
      </c>
      <c r="C239" s="6">
        <v>46203</v>
      </c>
      <c r="D239" s="5" t="s">
        <v>90</v>
      </c>
      <c r="E239" s="5" t="s">
        <v>91</v>
      </c>
      <c r="F239" s="5" t="s">
        <v>61</v>
      </c>
      <c r="G239" s="7">
        <v>-35949.32</v>
      </c>
      <c r="H239" s="5" t="s">
        <v>47</v>
      </c>
      <c r="I239" s="5" t="str">
        <f>IF(OR(A239="",B239="",C239="",D239="",F239="",G239=""),"ERROR","OK")</f>
        <v>OK</v>
      </c>
      <c r="J239" s="5" t="str">
        <f>IF(COUNTIF($A$2:$A$241,A239)&gt;1,"DUPLICATE","OK")</f>
        <v>OK</v>
      </c>
      <c r="K239" s="5" t="str">
        <f>IF(NOT(ISNUMBER(G239)),"NOT NUMBER",IF(OR(AND(LEFT(F239,1)="4",G239&gt;=0),AND(LEFT(F239,1)&lt;&gt;"4",G239&lt;=0)),"OK","CHECK"))</f>
        <v>OK</v>
      </c>
    </row>
    <row r="240" spans="1:11">
      <c r="A240" s="5" t="s">
        <v>304</v>
      </c>
      <c r="B240" s="5" t="s">
        <v>266</v>
      </c>
      <c r="C240" s="6">
        <v>46203</v>
      </c>
      <c r="D240" s="5" t="s">
        <v>90</v>
      </c>
      <c r="E240" s="5" t="s">
        <v>91</v>
      </c>
      <c r="F240" s="5" t="s">
        <v>63</v>
      </c>
      <c r="G240" s="7">
        <v>-29649.83</v>
      </c>
      <c r="H240" s="5" t="s">
        <v>47</v>
      </c>
      <c r="I240" s="5" t="str">
        <f>IF(OR(A240="",B240="",C240="",D240="",F240="",G240=""),"ERROR","OK")</f>
        <v>OK</v>
      </c>
      <c r="J240" s="5" t="str">
        <f>IF(COUNTIF($A$2:$A$241,A240)&gt;1,"DUPLICATE","OK")</f>
        <v>OK</v>
      </c>
      <c r="K240" s="5" t="str">
        <f>IF(NOT(ISNUMBER(G240)),"NOT NUMBER",IF(OR(AND(LEFT(F240,1)="4",G240&gt;=0),AND(LEFT(F240,1)&lt;&gt;"4",G240&lt;=0)),"OK","CHECK"))</f>
        <v>OK</v>
      </c>
    </row>
    <row r="241" spans="1:11">
      <c r="A241" s="5" t="s">
        <v>305</v>
      </c>
      <c r="B241" s="5" t="s">
        <v>266</v>
      </c>
      <c r="C241" s="6">
        <v>46203</v>
      </c>
      <c r="D241" s="5" t="s">
        <v>90</v>
      </c>
      <c r="E241" s="5" t="s">
        <v>91</v>
      </c>
      <c r="F241" s="5" t="s">
        <v>65</v>
      </c>
      <c r="G241" s="7">
        <v>-20266.46</v>
      </c>
      <c r="H241" s="5" t="s">
        <v>47</v>
      </c>
      <c r="I241" s="5" t="str">
        <f>IF(OR(A241="",B241="",C241="",D241="",F241="",G241=""),"ERROR","OK")</f>
        <v>OK</v>
      </c>
      <c r="J241" s="5" t="str">
        <f>IF(COUNTIF($A$2:$A$241,A241)&gt;1,"DUPLICATE","OK")</f>
        <v>OK</v>
      </c>
      <c r="K241" s="5" t="str">
        <f>IF(NOT(ISNUMBER(G241)),"NOT NUMBER",IF(OR(AND(LEFT(F241,1)="4",G241&gt;=0),AND(LEFT(F241,1)&lt;&gt;"4",G241&lt;=0)),"OK","CHECK"))</f>
        <v>OK</v>
      </c>
    </row>
  </sheetData>
  <conditionalFormatting sqref="I2:K241">
    <cfRule type="containsText" dxfId="0" priority="1" operator="containsText" text="ERROR">
      <formula>NOT(ISERROR(SEARCH("ERROR",I2)))</formula>
    </cfRule>
    <cfRule type="containsText" dxfId="0" priority="2" operator="containsText" text="DUPLICATE">
      <formula>NOT(ISERROR(SEARCH("DUPLICATE",I2)))</formula>
    </cfRule>
    <cfRule type="containsText" dxfId="0" priority="3" operator="containsText" text="CHECK">
      <formula>NOT(ISERROR(SEARCH("CHECK",I2)))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3" width="22.7109375" customWidth="1"/>
    <col min="4" max="4" width="34.7109375" customWidth="1"/>
  </cols>
  <sheetData>
    <row r="1" spans="1:4" ht="30" customHeight="1">
      <c r="A1" s="1" t="s">
        <v>306</v>
      </c>
    </row>
    <row r="3" spans="1:4">
      <c r="A3" s="4" t="s">
        <v>307</v>
      </c>
      <c r="B3" s="4" t="s">
        <v>308</v>
      </c>
      <c r="C3" s="4" t="s">
        <v>309</v>
      </c>
      <c r="D3" s="4" t="s">
        <v>310</v>
      </c>
    </row>
    <row r="4" spans="1:4">
      <c r="A4" s="5" t="s">
        <v>311</v>
      </c>
      <c r="B4" s="5">
        <f>COUNTA(Transactions!A2:A241)</f>
        <v>240</v>
      </c>
      <c r="C4" s="5">
        <v>240</v>
      </c>
      <c r="D4" s="3" t="s">
        <v>312</v>
      </c>
    </row>
    <row r="5" spans="1:4">
      <c r="A5" s="5" t="s">
        <v>313</v>
      </c>
      <c r="B5" s="5">
        <f>COUNTIF(Transactions!J2:J241,"DUPLICATE")</f>
        <v>0</v>
      </c>
      <c r="C5" s="5">
        <v>0</v>
      </c>
      <c r="D5" s="3" t="s">
        <v>314</v>
      </c>
    </row>
    <row r="6" spans="1:4">
      <c r="A6" s="5" t="s">
        <v>315</v>
      </c>
      <c r="B6" s="5">
        <f>COUNTIF(Transactions!I2:I241,"ERROR")</f>
        <v>0</v>
      </c>
      <c r="C6" s="5">
        <v>0</v>
      </c>
      <c r="D6" s="3" t="s">
        <v>316</v>
      </c>
    </row>
    <row r="7" spans="1:4">
      <c r="A7" s="5" t="s">
        <v>317</v>
      </c>
      <c r="B7" s="5">
        <f>COUNTIF(Transactions!K2:K241,"OK")</f>
        <v>240</v>
      </c>
      <c r="C7" s="5">
        <v>240</v>
      </c>
      <c r="D7" s="3" t="s">
        <v>318</v>
      </c>
    </row>
    <row r="8" spans="1:4">
      <c r="A8" s="5" t="s">
        <v>319</v>
      </c>
      <c r="B8" s="7">
        <f>SUMIFS(Transactions!G2:G241,Transactions!F2:F241,"4*")</f>
        <v>30402639.18</v>
      </c>
      <c r="C8" s="7">
        <v>30402639.18</v>
      </c>
      <c r="D8" s="3" t="s">
        <v>320</v>
      </c>
    </row>
    <row r="9" spans="1:4">
      <c r="A9" s="5" t="s">
        <v>321</v>
      </c>
      <c r="B9" s="7">
        <f>SUMIFS(Transactions!G2:G241,Transactions!F2:F241,"&lt;&gt;4*")</f>
        <v>-25635379.8</v>
      </c>
      <c r="C9" s="7">
        <v>-25635379.8</v>
      </c>
      <c r="D9" s="3" t="s">
        <v>322</v>
      </c>
    </row>
    <row r="10" spans="1:4">
      <c r="A10" s="5" t="s">
        <v>323</v>
      </c>
      <c r="B10" s="7">
        <f>SUM(Transactions!G2:G241)</f>
        <v>4767259.38</v>
      </c>
      <c r="C10" s="7">
        <v>4767259.38</v>
      </c>
      <c r="D10" s="3" t="s">
        <v>324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52.7109375" customWidth="1"/>
  </cols>
  <sheetData>
    <row r="1" spans="1:3" ht="30" customHeight="1">
      <c r="A1" s="1" t="s">
        <v>325</v>
      </c>
    </row>
    <row r="2" spans="1:3">
      <c r="A2" s="8" t="s">
        <v>326</v>
      </c>
    </row>
    <row r="5" spans="1:3">
      <c r="A5" s="4" t="s">
        <v>327</v>
      </c>
      <c r="B5" s="4" t="s">
        <v>328</v>
      </c>
      <c r="C5" s="4" t="s">
        <v>329</v>
      </c>
    </row>
    <row r="6" spans="1:3" ht="46" customHeight="1">
      <c r="A6" s="3" t="s">
        <v>330</v>
      </c>
      <c r="B6" s="3"/>
      <c r="C6" s="3"/>
    </row>
    <row r="7" spans="1:3" ht="46" customHeight="1">
      <c r="A7" s="3" t="s">
        <v>331</v>
      </c>
      <c r="B7" s="3"/>
      <c r="C7" s="3"/>
    </row>
    <row r="8" spans="1:3" ht="46" customHeight="1">
      <c r="A8" s="3" t="s">
        <v>332</v>
      </c>
      <c r="B8" s="3"/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Data Dictionary</vt:lpstr>
      <vt:lpstr>Transactions</vt:lpstr>
      <vt:lpstr>Quality &amp; Controls</vt:lpstr>
      <vt:lpstr>Copilot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2026-09-27T19:51:57Z</dcterms:created>
  <dcterms:modified xsi:type="dcterms:W3CDTF">2026-09-27T19:51:57Z</dcterms:modified>
</cp:coreProperties>
</file>